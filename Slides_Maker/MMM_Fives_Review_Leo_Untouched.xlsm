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k/Desktop/"/>
    </mc:Choice>
  </mc:AlternateContent>
  <xr:revisionPtr revIDLastSave="0" documentId="13_ncr:1_{8B3ADF2B-B16A-094C-849D-FC00E755878F}" xr6:coauthVersionLast="47" xr6:coauthVersionMax="47" xr10:uidLastSave="{00000000-0000-0000-0000-000000000000}"/>
  <bookViews>
    <workbookView xWindow="9580" yWindow="2180" windowWidth="34840" windowHeight="21980" xr2:uid="{00000000-000D-0000-FFFF-FFFF00000000}"/>
  </bookViews>
  <sheets>
    <sheet name="Cover" sheetId="4" r:id="rId1"/>
    <sheet name="Main" sheetId="3" r:id="rId2"/>
    <sheet name="Data" sheetId="1" r:id="rId3"/>
  </sheet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4" l="1" a="1"/>
  <c r="C13" i="4" s="1"/>
  <c r="AK4" i="1"/>
  <c r="AK5" i="1"/>
  <c r="AL4" i="1"/>
  <c r="AL5" i="1"/>
  <c r="AK2" i="1"/>
  <c r="AL2" i="1"/>
  <c r="D13" i="4" s="1" a="1"/>
  <c r="D13" i="4" s="1"/>
  <c r="AK3" i="1"/>
  <c r="AL3" i="1"/>
  <c r="C14" i="4" l="1" a="1"/>
  <c r="C14" i="4" s="1"/>
  <c r="C15" i="4" a="1"/>
  <c r="C15" i="4" s="1"/>
  <c r="C16" i="4" a="1"/>
  <c r="C16" i="4" s="1"/>
  <c r="D16" i="4" a="1"/>
  <c r="D16" i="4" s="1"/>
  <c r="B9" i="4"/>
  <c r="D21" i="3" a="1"/>
  <c r="D21" i="3" s="1"/>
  <c r="D20" i="3" a="1"/>
  <c r="D20" i="3" s="1"/>
  <c r="D15" i="4" l="1" a="1"/>
  <c r="D15" i="4" s="1"/>
  <c r="D14" i="4" a="1"/>
  <c r="D14" i="4" s="1"/>
  <c r="G20" i="3"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<sst xmlns="http://schemas.openxmlformats.org/spreadsheetml/2006/main" count="154" uniqueCount="113">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</sst>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_);\(#,##0.0\)"/>
    <numFmt numFmtId="165" formatCode="[$-409]mmmm\ d\,\ yyyy;@"/>
    <numFmt numFmtId="166" formatCode="&quot;$&quot;#,##0"/>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36">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164" fontId="34" fillId="0" borderId="0" xfId="45" applyNumberFormat="1" applyFont="1"/>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18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5" totalsRowShown="0" dataDxfId="38">
  <autoFilter ref="A1:AL5"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tabSelected="1" zoomScaleNormal="100" workbookViewId="0">
      <selection activeCell="G23" sqref="G23"/>
    </sheetView>
  </sheetViews>
  <sheetFormatPr baseColWidth="10" defaultColWidth="7.6640625" defaultRowHeight="12" x14ac:dyDescent="0.1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15"/>
    <row r="6" spans="2:8" ht="36" customHeight="1" x14ac:dyDescent="0.15"/>
    <row r="7" spans="2:8" ht="13" customHeight="1" x14ac:dyDescent="0.15"/>
    <row r="8" spans="2:8" ht="35" x14ac:dyDescent="0.35">
      <c r="B8" s="11" t="s">
        <v>54</v>
      </c>
    </row>
    <row r="9" spans="2:8" ht="25" x14ac:dyDescent="0.15">
      <c r="B9" s="30" t="str">
        <f ca="1">"Week of "&amp;TEXT(TODAY(),"M/D/YYYY")</f>
        <v>Week of 3/6/2024</v>
      </c>
    </row>
    <row r="10" spans="2:8" ht="21" x14ac:dyDescent="0.25">
      <c r="B10" s="12"/>
      <c r="C10" s="13"/>
      <c r="D10" s="13"/>
    </row>
    <row r="11" spans="2:8" ht="16" x14ac:dyDescent="0.2">
      <c r="B11" s="5"/>
      <c r="C11"/>
    </row>
    <row r="12" spans="2:8" ht="21" x14ac:dyDescent="0.25">
      <c r="B12" s="24" t="s">
        <v>48</v>
      </c>
      <c r="C12" s="25" t="s">
        <v>3</v>
      </c>
      <c r="D12" s="26" t="s">
        <v>35</v>
      </c>
      <c r="F12" s="24" t="s">
        <v>48</v>
      </c>
      <c r="G12" s="25" t="s">
        <v>3</v>
      </c>
      <c r="H12" s="26" t="s">
        <v>35</v>
      </c>
    </row>
    <row r="13" spans="2:8" ht="21" x14ac:dyDescent="0.25">
      <c r="B13" s="12">
        <v>1</v>
      </c>
      <c r="C13" s="13" t="str" cm="1">
        <f t="array" ref="C13">IFERROR(INDEX(Fives[Company Name],B13,1),"")</f>
        <v>Delaget</v>
      </c>
      <c r="D13" s="13" t="str" cm="1">
        <f t="array" ref="D13">IFERROR(INDEX(Fives[Upgraded by Combined],B13,1),"")</f>
        <v>Ben MacShane</v>
      </c>
      <c r="F13" s="12"/>
      <c r="G13" s="13"/>
      <c r="H13" s="13"/>
    </row>
    <row r="14" spans="2:8" ht="21" x14ac:dyDescent="0.25">
      <c r="B14" s="12">
        <v>2</v>
      </c>
      <c r="C14" s="13" t="str" cm="1">
        <f t="array" ref="C14">IFERROR(INDEX(Fives[Company Name],B14,1),"")</f>
        <v>CCR</v>
      </c>
      <c r="D14" s="13" t="str" cm="1">
        <f t="array" ref="D14">IFERROR(INDEX(Fives[Upgraded by Combined],B14,1),"")</f>
        <v>Ben MacShane</v>
      </c>
      <c r="F14" s="12"/>
      <c r="G14" s="13"/>
      <c r="H14" s="13"/>
    </row>
    <row r="15" spans="2:8" ht="21" x14ac:dyDescent="0.25">
      <c r="B15" s="12">
        <v>3</v>
      </c>
      <c r="C15" s="13" t="str" cm="1">
        <f t="array" ref="C15">IFERROR(INDEX(Fives[Company Name],B15,1),"")</f>
        <v>HeroDevs</v>
      </c>
      <c r="D15" s="13" t="str" cm="1">
        <f t="array" ref="D15">IFERROR(INDEX(Fives[Upgraded by Combined],B15,1),"")</f>
        <v>Ben MacShane</v>
      </c>
      <c r="F15" s="12"/>
      <c r="G15" s="13"/>
      <c r="H15" s="13"/>
    </row>
    <row r="16" spans="2:8" ht="21" x14ac:dyDescent="0.25">
      <c r="B16" s="12">
        <v>4</v>
      </c>
      <c r="C16" s="13" t="str" cm="1">
        <f t="array" ref="C16">IFERROR(INDEX(Fives[Company Name],B16,1),"")</f>
        <v>Smarty</v>
      </c>
      <c r="D16" s="13" t="str" cm="1">
        <f t="array" ref="D16">IFERROR(INDEX(Fives[Upgraded by Combined],B16,1),"")</f>
        <v>Ben MacShane</v>
      </c>
      <c r="F16" s="12"/>
      <c r="G16" s="13"/>
      <c r="H16" s="13"/>
    </row>
    <row r="17" spans="2:8" ht="21" x14ac:dyDescent="0.25">
      <c r="B17" s="12"/>
      <c r="C17" s="13"/>
      <c r="D17" s="13"/>
      <c r="F17" s="12"/>
      <c r="G17" s="13"/>
      <c r="H17" s="13"/>
    </row>
    <row r="18" spans="2:8" ht="21" x14ac:dyDescent="0.25">
      <c r="B18" s="12"/>
      <c r="C18" s="13"/>
      <c r="D18" s="13"/>
      <c r="F18" s="12"/>
      <c r="G18" s="13"/>
      <c r="H18" s="13"/>
    </row>
    <row r="19" spans="2:8" ht="21" x14ac:dyDescent="0.25">
      <c r="B19" s="12"/>
      <c r="C19" s="13"/>
      <c r="D19" s="13"/>
      <c r="F19" s="12"/>
      <c r="G19" s="13"/>
      <c r="H19" s="13"/>
    </row>
    <row r="20" spans="2:8" ht="21" x14ac:dyDescent="0.25">
      <c r="B20" s="12"/>
      <c r="C20" s="13"/>
      <c r="D20" s="13"/>
      <c r="F20" s="12"/>
      <c r="G20" s="13"/>
      <c r="H20" s="13"/>
    </row>
    <row r="21" spans="2:8" ht="21" x14ac:dyDescent="0.25">
      <c r="B21" s="12"/>
      <c r="C21" s="13"/>
      <c r="D21" s="13"/>
      <c r="F21" s="12"/>
      <c r="G21" s="13"/>
      <c r="H21" s="13"/>
    </row>
    <row r="22" spans="2:8" ht="21" x14ac:dyDescent="0.25">
      <c r="B22" s="12"/>
      <c r="C22" s="13"/>
      <c r="D22" s="13"/>
      <c r="F22" s="12"/>
      <c r="G22" s="13"/>
      <c r="H22" s="13"/>
    </row>
    <row r="23" spans="2:8" ht="21" x14ac:dyDescent="0.25">
      <c r="B23" s="12"/>
      <c r="C23" s="13"/>
      <c r="D23" s="13"/>
      <c r="F23" s="12"/>
      <c r="G23" s="13"/>
      <c r="H23" s="13"/>
    </row>
    <row r="24" spans="2:8" ht="21" x14ac:dyDescent="0.25">
      <c r="B24" s="12"/>
      <c r="C24" s="13"/>
      <c r="D24" s="13"/>
      <c r="F24" s="12"/>
      <c r="G24" s="13"/>
      <c r="H24" s="13"/>
    </row>
    <row r="25" spans="2:8" ht="21" x14ac:dyDescent="0.25">
      <c r="B25" s="12"/>
      <c r="C25" s="13"/>
      <c r="D25" s="13"/>
    </row>
    <row r="26" spans="2:8" ht="21" x14ac:dyDescent="0.25">
      <c r="B26" s="12"/>
      <c r="C26" s="13"/>
      <c r="D26" s="13"/>
    </row>
    <row r="27" spans="2:8" ht="21" x14ac:dyDescent="0.25">
      <c r="B27" s="12"/>
      <c r="C27" s="13"/>
      <c r="D27" s="13"/>
    </row>
    <row r="28" spans="2:8" ht="21" x14ac:dyDescent="0.25">
      <c r="B28" s="12"/>
      <c r="C28" s="13"/>
      <c r="D28" s="13"/>
    </row>
    <row r="29" spans="2:8" ht="21" x14ac:dyDescent="0.25">
      <c r="B29" s="12"/>
    </row>
    <row r="30" spans="2:8" ht="21" x14ac:dyDescent="0.25">
      <c r="B30" s="12"/>
    </row>
    <row r="31" spans="2:8" ht="22" customHeight="1" x14ac:dyDescent="0.25">
      <c r="C31" s="35"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zoomScaleNormal="100" workbookViewId="0">
      <selection activeCell="H6" sqref="H6:H7"/>
    </sheetView>
  </sheetViews>
  <sheetFormatPr baseColWidth="10" defaultRowHeight="16" x14ac:dyDescent="0.2"/>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2">
      <c r="J1" s="7">
        <v>1</v>
      </c>
      <c r="K1" s="23" t="str">
        <f>"out of "&amp;COUNTIF(Fives[Company ID (18 Char)],"*")</f>
        <v>out of 4</v>
      </c>
      <c r="M1" s="3">
        <f>IF(J1+1&lt;=K1,J1+1,"DONE")</f>
        <v>2</v>
      </c>
      <c r="N1" s="3"/>
      <c r="O1" t="s">
        <v>53</v>
      </c>
      <c r="ZX1" s="8"/>
    </row>
    <row r="2" spans="3:700" ht="35" x14ac:dyDescent="0.35">
      <c r="C2" s="10" t="str" cm="1">
        <f t="array" ref="C2">INDEX(Fives[],$J$1,4)</f>
        <v>Delaget</v>
      </c>
      <c r="M2" s="3"/>
      <c r="N2" s="3"/>
    </row>
    <row r="3" spans="3:700" ht="26" x14ac:dyDescent="0.25">
      <c r="C3" s="14" t="str" cm="1">
        <f t="array" ref="C3">"Upgraded by "&amp;INDEX(Fives[Upgraded by Combined],$J$1,1)</f>
        <v>Upgraded by Ben MacShane</v>
      </c>
      <c r="M3" s="3"/>
      <c r="N3" s="3"/>
    </row>
    <row r="4" spans="3:700" ht="16" customHeight="1" x14ac:dyDescent="0.2">
      <c r="M4" s="3"/>
      <c r="N4" s="3"/>
    </row>
    <row r="5" spans="3:700" ht="24" thickBot="1" x14ac:dyDescent="0.25">
      <c r="C5" s="9" t="s">
        <v>25</v>
      </c>
      <c r="D5" s="4"/>
      <c r="E5" s="4"/>
      <c r="F5" s="4"/>
      <c r="G5" s="4"/>
      <c r="M5" s="3"/>
      <c r="N5" s="3"/>
    </row>
    <row r="6" spans="3:700" ht="12" customHeight="1" thickTop="1" x14ac:dyDescent="0.2">
      <c r="M6" s="3"/>
      <c r="N6" s="3"/>
    </row>
    <row r="7" spans="3:700" ht="63" customHeight="1" x14ac:dyDescent="0.2">
      <c r="C7" s="32" t="str" cm="1">
        <f t="array" ref="C7">IF(INDEX(Fives[],$J$1,29)=0,"",INDEX(Fives[],$J$1,29))</f>
        <v>Delaget, LLC is an information service, transaction processing, and outsourced services company. The company offers loss prevention, reporting, analytics, and payroll and accounting services. The company serves its clients across the country.</v>
      </c>
      <c r="D7" s="33"/>
      <c r="E7" s="33"/>
      <c r="F7" s="33"/>
      <c r="G7" s="34"/>
      <c r="M7" s="3"/>
      <c r="N7" s="3"/>
    </row>
    <row r="8" spans="3:700" x14ac:dyDescent="0.2">
      <c r="M8" s="3"/>
      <c r="N8" s="3"/>
    </row>
    <row r="9" spans="3:700" ht="24" thickBot="1" x14ac:dyDescent="0.25">
      <c r="C9" s="9" t="s">
        <v>37</v>
      </c>
      <c r="D9" s="4"/>
      <c r="E9" s="4"/>
      <c r="F9" s="4"/>
      <c r="G9" s="4"/>
      <c r="M9" s="3"/>
      <c r="N9" s="3"/>
    </row>
    <row r="10" spans="3:700" ht="12" customHeight="1" thickTop="1" x14ac:dyDescent="0.2">
      <c r="M10" s="3"/>
      <c r="N10" s="3"/>
    </row>
    <row r="11" spans="3:700" ht="19" x14ac:dyDescent="0.2">
      <c r="C11" s="15" t="s">
        <v>17</v>
      </c>
      <c r="D11" s="16" t="str" cm="1">
        <f t="array" ref="D11">IF(INDEX(Fives[],$J$1,21)=0,"",INDEX(Fives[],$J$1,21))</f>
        <v>$15M EOY '23A ARR</v>
      </c>
      <c r="E11" s="17"/>
      <c r="F11" s="15" t="s">
        <v>20</v>
      </c>
      <c r="G11" s="16" t="str" cm="1">
        <f t="array" ref="G11">IF(INDEX(Fives[],$J$1,24)=0,"",INDEX(Fives[],$J$1,24))</f>
        <v>Subscription, per restaurant per month</v>
      </c>
      <c r="M11" s="3"/>
      <c r="N11" s="3"/>
    </row>
    <row r="12" spans="3:700" ht="19" x14ac:dyDescent="0.2">
      <c r="C12" s="15" t="s">
        <v>18</v>
      </c>
      <c r="D12" s="21" t="str" cm="1">
        <f t="array" ref="D12">IF(INDEX(Fives[],$J$1,22)=0,"",INDEX(Fives[],$J$1,22))</f>
        <v>~40% 2022 Growth</v>
      </c>
      <c r="E12" s="17"/>
      <c r="F12" s="15" t="s">
        <v>21</v>
      </c>
      <c r="G12" s="16" t="str" cm="1">
        <f t="array" ref="G12">IF(INDEX(Fives[],$J$1,25)=0,"",INDEX(Fives[],$J$1,25))</f>
        <v>One outside shareholder</v>
      </c>
      <c r="M12" s="3"/>
      <c r="N12" s="3"/>
    </row>
    <row r="13" spans="3:700" ht="19" x14ac:dyDescent="0.2">
      <c r="C13" s="15" t="s">
        <v>19</v>
      </c>
      <c r="D13" s="22" t="str" cm="1">
        <f t="array" ref="D13">IF(INDEX(Fives[],$J$1,23)=0,"",INDEX(Fives[],$J$1,23))</f>
        <v>CF+ in 1H '24</v>
      </c>
      <c r="E13" s="17"/>
      <c r="F13" s="15" t="s">
        <v>22</v>
      </c>
      <c r="G13" s="16" t="str" cm="1">
        <f t="array" ref="G13">IF(INDEX(Fives[],$J$1,26)=0,"",INDEX(Fives[],$J$1,26))</f>
        <v>None known</v>
      </c>
      <c r="M13" s="3"/>
      <c r="N13" s="3"/>
    </row>
    <row r="14" spans="3:700" ht="12" customHeight="1" x14ac:dyDescent="0.2">
      <c r="M14" s="3"/>
      <c r="N14" s="3"/>
    </row>
    <row r="15" spans="3:700" ht="24" thickBot="1" x14ac:dyDescent="0.25">
      <c r="C15" s="9" t="s">
        <v>43</v>
      </c>
      <c r="D15" s="19"/>
      <c r="E15" s="4"/>
      <c r="F15" s="4"/>
      <c r="G15" s="19"/>
      <c r="M15" s="3"/>
      <c r="N15" s="3"/>
    </row>
    <row r="16" spans="3:700" ht="17" thickTop="1" x14ac:dyDescent="0.2">
      <c r="D16" s="8"/>
      <c r="G16" s="8"/>
      <c r="M16" s="3"/>
      <c r="N16" s="3"/>
    </row>
    <row r="17" spans="3:14" ht="19" x14ac:dyDescent="0.2">
      <c r="C17" s="15" t="s">
        <v>44</v>
      </c>
      <c r="D17" s="16" t="str" cm="1">
        <f t="array" ref="D17">IF(INDEX(Fives[],$J$1,6)="",INDEX(Fives[],$J$1,5),IF(ISNUMBER(FIND(INDEX(Fives[],$J$1,5),INDEX(Fives[],$J$1,6))),INDEX(Fives[],$J$1,6),INDEX(Fives[],$J$1,5)&amp;"; "&amp;INDEX(Fives[],$J$1,6)))</f>
        <v>Ben MacShane</v>
      </c>
      <c r="E17" s="17"/>
      <c r="F17" s="15" t="s">
        <v>42</v>
      </c>
      <c r="G17" s="16" cm="1">
        <f t="array" ref="G17">IF(INDEX(Fives[],$J$1,30)=0,"",INDEX(Fives[],$J$1,30))</f>
        <v>93</v>
      </c>
      <c r="M17" s="3"/>
      <c r="N17" s="3"/>
    </row>
    <row r="18" spans="3:14" ht="19" x14ac:dyDescent="0.2">
      <c r="C18" s="15" t="s">
        <v>11</v>
      </c>
      <c r="D18" s="16" t="str" cm="1">
        <f t="array" ref="D18">IF(INDEX(Fives[],$J$1,15)=0,"",INDEX(Fives[],$J$1,15))</f>
        <v>Proprietary</v>
      </c>
      <c r="E18" s="17"/>
      <c r="F18" s="15" t="s">
        <v>39</v>
      </c>
      <c r="G18" s="18" cm="1">
        <f t="array" ref="G18">IF(INDEX(Fives[],$J$1,32)=0,"",INDEX(Fives[],$J$1,32))</f>
        <v>44593</v>
      </c>
      <c r="M18" s="3"/>
      <c r="N18" s="3"/>
    </row>
    <row r="19" spans="3:14" ht="19" x14ac:dyDescent="0.2">
      <c r="C19" s="15" t="s">
        <v>12</v>
      </c>
      <c r="D19" s="16" t="str" cm="1">
        <f t="array" ref="D19">IF(INDEX(Fives[],$J$1,16)=0,"",INDEX(Fives[],$J$1,16))</f>
        <v/>
      </c>
      <c r="E19" s="17"/>
      <c r="F19" s="15" t="s">
        <v>40</v>
      </c>
      <c r="G19" s="27" t="str" cm="1">
        <f t="array" ref="G19">IF(INDEX(Fives[],$J$1,31)=0,"",INDEX(Fives[],$J$1,31))</f>
        <v/>
      </c>
      <c r="M19" s="3"/>
      <c r="N19" s="3"/>
    </row>
    <row r="20" spans="3:14" ht="19" x14ac:dyDescent="0.2">
      <c r="C20" s="15" t="s">
        <v>38</v>
      </c>
      <c r="D20" s="16" t="str" cm="1">
        <f t="array" ref="D20">IF(INDEX(Fives[],$J$1,35)=0,"",INDEX(Fives[],$J$1,35))</f>
        <v>https://www.delaget.com</v>
      </c>
      <c r="E20" s="17"/>
      <c r="F20" s="15" t="s">
        <v>41</v>
      </c>
      <c r="G20" s="27" cm="1">
        <f t="array" ref="G20">IF(INDEX(Fives[],$J$1,33)=0,"",INDEX(Fives[],$J$1,33))</f>
        <v>400000</v>
      </c>
      <c r="M20" s="3"/>
      <c r="N20" s="3"/>
    </row>
    <row r="21" spans="3:14" ht="19" x14ac:dyDescent="0.2">
      <c r="C21" s="29" t="s">
        <v>52</v>
      </c>
      <c r="D21" s="28" t="str" cm="1">
        <f t="array" ref="D21">IF(INDEX(Fives[],$J$1,36)=0,"",INDEX(Fives[],$J$1,36))</f>
        <v>USA</v>
      </c>
      <c r="M21" s="3"/>
      <c r="N21" s="3"/>
    </row>
    <row r="22" spans="3:14" x14ac:dyDescent="0.2">
      <c r="M22" s="3"/>
      <c r="N22" s="3"/>
    </row>
    <row r="23" spans="3:14" x14ac:dyDescent="0.2">
      <c r="M23" s="3"/>
      <c r="N23" s="3"/>
    </row>
    <row r="24" spans="3:14" x14ac:dyDescent="0.2">
      <c r="M24" s="3"/>
      <c r="N24" s="3"/>
    </row>
    <row r="25" spans="3:14" x14ac:dyDescent="0.2">
      <c r="M25" s="3"/>
      <c r="N25" s="3"/>
    </row>
    <row r="26" spans="3:14" x14ac:dyDescent="0.2">
      <c r="M26" s="3"/>
      <c r="N26" s="3"/>
    </row>
    <row r="27" spans="3:14" x14ac:dyDescent="0.2">
      <c r="M27" s="3"/>
      <c r="N27" s="3"/>
    </row>
    <row r="28" spans="3:14" x14ac:dyDescent="0.2">
      <c r="M28" s="3"/>
      <c r="N28" s="3"/>
    </row>
    <row r="29" spans="3:14" ht="9" customHeight="1" x14ac:dyDescent="0.2">
      <c r="M29" s="3"/>
      <c r="N29" s="3"/>
    </row>
    <row r="30" spans="3:14" ht="18" customHeight="1" x14ac:dyDescent="0.2">
      <c r="M30" s="3"/>
      <c r="N30" s="3"/>
    </row>
    <row r="31" spans="3:14" x14ac:dyDescent="0.2">
      <c r="M31" s="3"/>
      <c r="N31" s="3"/>
    </row>
    <row r="32" spans="3:14" x14ac:dyDescent="0.2">
      <c r="M32" s="3"/>
      <c r="N32" s="3"/>
    </row>
    <row r="33" s="3" customFormat="1" x14ac:dyDescent="0.2"/>
    <row r="34" s="3" customFormat="1" x14ac:dyDescent="0.2"/>
    <row r="35" s="3" customFormat="1" x14ac:dyDescent="0.2"/>
    <row r="36" s="3" customFormat="1" x14ac:dyDescent="0.2"/>
    <row r="37" s="3" customFormat="1" x14ac:dyDescent="0.2"/>
    <row r="38" s="3" customFormat="1" x14ac:dyDescent="0.2"/>
    <row r="39" s="3" customFormat="1" x14ac:dyDescent="0.2"/>
    <row r="40" s="3" customFormat="1" x14ac:dyDescent="0.2"/>
    <row r="41" s="3" customFormat="1" x14ac:dyDescent="0.2"/>
    <row r="42" s="3" customFormat="1" x14ac:dyDescent="0.2"/>
    <row r="43" s="3" customFormat="1" x14ac:dyDescent="0.2"/>
    <row r="44" s="3" customFormat="1" x14ac:dyDescent="0.2"/>
    <row r="45" s="3" customFormat="1" x14ac:dyDescent="0.2"/>
    <row r="46" s="3" customFormat="1" x14ac:dyDescent="0.2"/>
    <row r="47" s="3" customFormat="1" x14ac:dyDescent="0.2"/>
    <row r="48" s="3" customFormat="1" x14ac:dyDescent="0.2"/>
    <row r="49" s="3" customFormat="1" x14ac:dyDescent="0.2"/>
    <row r="50" s="3" customFormat="1" x14ac:dyDescent="0.2"/>
    <row r="51" s="3" customFormat="1" x14ac:dyDescent="0.2"/>
    <row r="52" s="3" customFormat="1" x14ac:dyDescent="0.2"/>
    <row r="53" s="3" customFormat="1" x14ac:dyDescent="0.2"/>
    <row r="54" s="3" customFormat="1" x14ac:dyDescent="0.2"/>
    <row r="55" s="3" customFormat="1" x14ac:dyDescent="0.2"/>
    <row r="56" s="3" customFormat="1" x14ac:dyDescent="0.2"/>
    <row r="57" s="3" customFormat="1" x14ac:dyDescent="0.2"/>
    <row r="58" s="3" customFormat="1" x14ac:dyDescent="0.2"/>
    <row r="59" s="3" customFormat="1" x14ac:dyDescent="0.2"/>
    <row r="60" s="3" customFormat="1" x14ac:dyDescent="0.2"/>
    <row r="61" s="3" customFormat="1" x14ac:dyDescent="0.2"/>
    <row r="62" s="3" customFormat="1" x14ac:dyDescent="0.2"/>
    <row r="63" s="3" customFormat="1" x14ac:dyDescent="0.2"/>
    <row r="64" s="3" customFormat="1" x14ac:dyDescent="0.2"/>
    <row r="65" s="3" customFormat="1" x14ac:dyDescent="0.2"/>
    <row r="66" s="3" customFormat="1" x14ac:dyDescent="0.2"/>
    <row r="67" s="3" customFormat="1" x14ac:dyDescent="0.2"/>
    <row r="68" s="3" customFormat="1" x14ac:dyDescent="0.2"/>
    <row r="69" s="3" customFormat="1" x14ac:dyDescent="0.2"/>
    <row r="70" s="3" customFormat="1" x14ac:dyDescent="0.2"/>
    <row r="71" s="3" customFormat="1" x14ac:dyDescent="0.2"/>
    <row r="72" s="3" customFormat="1" x14ac:dyDescent="0.2"/>
    <row r="73" s="3" customFormat="1" x14ac:dyDescent="0.2"/>
    <row r="74" s="3" customFormat="1" x14ac:dyDescent="0.2"/>
    <row r="75" s="3" customFormat="1" x14ac:dyDescent="0.2"/>
    <row r="76" s="3" customFormat="1" x14ac:dyDescent="0.2"/>
    <row r="77" s="3" customFormat="1" x14ac:dyDescent="0.2"/>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ormatCopy" altText="Run">
                <anchor moveWithCells="1" sizeWithCells="1">
                  <from>
                    <xdr:col>9</xdr:col>
                    <xdr:colOff>0</xdr:colOff>
                    <xdr:row>1</xdr:row>
                    <xdr:rowOff>203200</xdr:rowOff>
                  </from>
                  <to>
                    <xdr:col>13</xdr:col>
                    <xdr:colOff>12700</xdr:colOff>
                    <xdr:row>2</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5"/>
  <sheetViews>
    <sheetView zoomScaleNormal="100" workbookViewId="0">
      <pane ySplit="1" topLeftCell="A2" activePane="bottomLeft" state="frozen"/>
      <selection activeCell="AJ3" sqref="AJ3"/>
      <selection pane="bottomLeft" activeCell="C19" sqref="C19"/>
    </sheetView>
  </sheetViews>
  <sheetFormatPr baseColWidth="10" defaultRowHeight="16" x14ac:dyDescent="0.2"/>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2">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2">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4</v>
      </c>
      <c r="AL2" t="str">
        <f>IF(Fives[[#This Row],[Split Credit]]="",Fives[[#This Row],[Upgraded By]],IF(ISNUMBER(FIND(Fives[[#This Row],[Upgraded By]],Fives[[#This Row],[Split Credit]])),Fives[[#This Row],[Split Credit]],Fives[[#This Row],[Upgraded By]]&amp;"; "&amp;Fives[[#This Row],[Split Credit]]))</f>
        <v>Ben MacShane</v>
      </c>
    </row>
    <row r="3" spans="1:38" x14ac:dyDescent="0.2">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4</v>
      </c>
      <c r="AL3" t="str">
        <f>IF(Fives[[#This Row],[Split Credit]]="",Fives[[#This Row],[Upgraded By]],IF(ISNUMBER(FIND(Fives[[#This Row],[Upgraded By]],Fives[[#This Row],[Split Credit]])),Fives[[#This Row],[Split Credit]],Fives[[#This Row],[Upgraded By]]&amp;"; "&amp;Fives[[#This Row],[Split Credit]]))</f>
        <v>Ben MacShane</v>
      </c>
    </row>
    <row r="4" spans="1:38" x14ac:dyDescent="0.2">
      <c r="A4" t="s">
        <v>89</v>
      </c>
      <c r="B4" t="s">
        <v>90</v>
      </c>
      <c r="C4" t="s">
        <v>91</v>
      </c>
      <c r="D4"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4</v>
      </c>
      <c r="AL4" t="str">
        <f>IF(Fives[[#This Row],[Split Credit]]="",Fives[[#This Row],[Upgraded By]],IF(ISNUMBER(FIND(Fives[[#This Row],[Upgraded By]],Fives[[#This Row],[Split Credit]])),Fives[[#This Row],[Split Credit]],Fives[[#This Row],[Upgraded By]]&amp;"; "&amp;Fives[[#This Row],[Split Credit]]))</f>
        <v>Ben MacShane</v>
      </c>
    </row>
    <row r="5" spans="1:38" x14ac:dyDescent="0.2">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4</v>
      </c>
      <c r="AL5"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Cover</vt:lpstr>
      <vt:lpstr>Main</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Michael Kang</cp:lastModifiedBy>
  <cp:lastPrinted>2023-09-20T22:12:16Z</cp:lastPrinted>
  <dcterms:created xsi:type="dcterms:W3CDTF">2023-09-20T20:22:48Z</dcterms:created>
  <dcterms:modified xsi:type="dcterms:W3CDTF">2024-03-07T03:38:05Z</dcterms:modified>
</cp:coreProperties>
</file>