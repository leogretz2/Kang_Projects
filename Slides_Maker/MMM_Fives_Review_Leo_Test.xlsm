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A3888E1F-DECD-44D5-A308-74BF70270C62}" xr6:coauthVersionLast="47" xr6:coauthVersionMax="47" xr10:uidLastSave="{00000000-0000-0000-0000-000000000000}"/>
  <bookViews>
    <workbookView xWindow="-90" yWindow="-90" windowWidth="19380" windowHeight="10260" activeTab="5" xr2:uid="{00000000-000D-0000-FFFF-FFFF00000000}"/>
  </bookViews>
  <sheets>
    <sheet name="Cover" sheetId="4" r:id="rId1"/>
    <sheet name="Smarty" sheetId="12" r:id="rId2"/>
    <sheet name="HeroDevs" sheetId="11" r:id="rId3"/>
    <sheet name="CCR" sheetId="10" r:id="rId4"/>
    <sheet name="Delaget" sheetId="9" r:id="rId5"/>
    <sheet name="Main" sheetId="3" r:id="rId6"/>
    <sheet name="Data" sheetId="1" r:id="rId7"/>
  </sheets>
  <functionGroups builtInGroupCount="19"/>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2" l="1"/>
  <c r="M1" i="12" s="1"/>
  <c r="K1" i="11"/>
  <c r="M1" i="11" s="1"/>
  <c r="K1" i="10"/>
  <c r="M1" i="10" s="1"/>
  <c r="K1" i="9"/>
  <c r="M1" i="9" s="1"/>
  <c r="AK4" i="1"/>
  <c r="AK5" i="1"/>
  <c r="AL4" i="1"/>
  <c r="AL5" i="1"/>
  <c r="AK2" i="1"/>
  <c r="AL2" i="1"/>
  <c r="AK3" i="1"/>
  <c r="AL3" i="1"/>
  <c r="B9" i="4" l="1"/>
  <c r="D21" i="3" a="1"/>
  <c r="D21" i="3" s="1"/>
  <c r="D20" i="3" a="1"/>
  <c r="D20" i="3" s="1"/>
  <c r="G20" i="3" l="1"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<sst xmlns="http://schemas.openxmlformats.org/spreadsheetml/2006/main" count="290" uniqueCount="114">
  <si>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</si>
  <si>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</si>
  <si>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</si>
  <si>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</si>
  <si>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</si>
  <si>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</si>
  <si>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</si>
  <si>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</si>
  <si>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</si>
  <si>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</si>
  <si>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</si>
  <si>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</si>
  <si>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</si>
  <si>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</si>
  <si>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</si>
  <si>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</si>
  <si>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</si>
  <si>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</si>
  <si>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</si>
  <si>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</si>
  <si>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</si>
  <si>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</si>
  <si>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</si>
  <si>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</si>
  <si>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</si>
  <si>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</si>
  <si>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</si>
  <si>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</si>
  <si>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</si>
  <si>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</si>
  <si>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</si>
  <si>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</si>
  <si>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</si>
  <si>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</si>
  <si>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</si>
  <si>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</si>
  <si>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</si>
  <si>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</si>
  <si>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</si>
  <si>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</si>
  <si>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</si>
  <si>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</si>
  <si>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</si>
  <si>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</si>
  <si>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</si>
  <si>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</si>
  <si>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</si>
  <si>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</si>
  <si>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</si>
  <si>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</si>
  <si>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</si>
  <si>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</si>
  <si>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</si>
  <si>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</si>
  <si>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</si>
  <si>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</si>
  <si>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</si>
  <si>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</si>
  <si>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</si>
  <si>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</si>
  <si>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</si>
  <si>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</si>
  <si>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</si>
  <si>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</si>
  <si>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</si>
  <si>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</si>
  <si>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</si>
  <si>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</si>
  <si>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</si>
  <si>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</si>
  <si>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</si>
  <si>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</si>
  <si>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</si>
  <si>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</si>
  <si>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</si>
  <si>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</si>
  <si>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</si>
  <si>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</si>
  <si>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</si>
  <si>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</si>
  <si>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</si>
  <si>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</si>
  <si>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</si>
  <si>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</si>
  <si>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</si>
  <si>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</si>
  <si>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</si>
  <si>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</si>
  <si>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</si>
  <si>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</si>
  <si>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</si>
  <si>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</si>
  <si>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</si>
  <si>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</si>
  <si>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</si>
  <si>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</si>
  <si>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</si>
  <si>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</si>
  <si>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</si>
  <si>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</si>
  <si>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</si>
  <si>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</si>
  <si>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</si>
  <si>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</si>
  <si>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</si>
  <si>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</si>
  <si>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</si>
  <si>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</si>
  <si>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</si>
  <si>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</si>
  <si>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</si>
  <si>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</si>
  <si>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</si>
  <si>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Upgraded By Ben MacShane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</si>
</sst>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6">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752954D0-177A-4ED5-9989-22A0F6F009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12289" name="Button 1" descr="Run" hidden="1">
              <a:extLst>
                <a:ext uri="{63B3BB69-23CF-44E3-9099-C40C66FF867C}">
                  <a14:compatExt spid="_x0000_s12289"/>
                </a:ext>
                <a:ext uri="{FF2B5EF4-FFF2-40B4-BE49-F238E27FC236}">
                  <a16:creationId xmlns:a16="http://schemas.microsoft.com/office/drawing/2014/main" id="{35181715-0A3D-406B-9885-2AEF06E961B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A204A358-4A80-4D71-9DF6-301CC4DF20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11265" name="Button 1" descr="Run" hidden="1">
              <a:extLst>
                <a:ext uri="{63B3BB69-23CF-44E3-9099-C40C66FF867C}">
                  <a14:compatExt spid="_x0000_s11265"/>
                </a:ext>
                <a:ext uri="{FF2B5EF4-FFF2-40B4-BE49-F238E27FC236}">
                  <a16:creationId xmlns:a16="http://schemas.microsoft.com/office/drawing/2014/main" id="{DBD1656A-BF19-4533-8B0C-BBF9AC15F8E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C40AC3CF-3B5E-4D3A-97BD-EA6509DBD8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10241" name="Button 1" descr="Run" hidden="1">
              <a:extLst>
                <a:ext uri="{63B3BB69-23CF-44E3-9099-C40C66FF867C}">
                  <a14:compatExt spid="_x0000_s10241"/>
                </a:ext>
                <a:ext uri="{FF2B5EF4-FFF2-40B4-BE49-F238E27FC236}">
                  <a16:creationId xmlns:a16="http://schemas.microsoft.com/office/drawing/2014/main" id="{BA20EC25-BDEE-4469-A171-F099AC13C5D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1B5B6B27-EB10-4079-9E88-E393D5CE61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9217" name="Button 1" descr="Run" hidden="1">
              <a:extLst>
                <a:ext uri="{63B3BB69-23CF-44E3-9099-C40C66FF867C}">
                  <a14:compatExt spid="_x0000_s9217"/>
                </a:ext>
                <a:ext uri="{FF2B5EF4-FFF2-40B4-BE49-F238E27FC236}">
                  <a16:creationId xmlns:a16="http://schemas.microsoft.com/office/drawing/2014/main" id="{F7A3B52E-A704-4C9D-B79C-F463885B099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5" totalsRowShown="0" dataDxfId="38">
  <autoFilter ref="A1:AL5"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Normal="100" workbookViewId="0">
      <selection activeCell="G23" sqref="G23"/>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row>
    <row r="9" spans="2:8" ht="25" x14ac:dyDescent="0.65">
      <c r="B9" s="30" t="str">
        <f ca="1">"Week of "&amp;TEXT(TODAY(),"M/D/YYYY")</f>
        <v>Week of 3/26/2024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
        <v>63</v>
      </c>
      <c r="D13" s="13" t="s">
        <v>64</v>
      </c>
      <c r="F13" s="12"/>
      <c r="G13" s="13"/>
      <c r="H13" s="13"/>
    </row>
    <row r="14" spans="2:8" ht="21" x14ac:dyDescent="1">
      <c r="B14" s="12">
        <v>2</v>
      </c>
      <c r="C14" s="13" t="s">
        <v>78</v>
      </c>
      <c r="D14" s="13" t="s">
        <v>64</v>
      </c>
      <c r="F14" s="12"/>
      <c r="G14" s="13"/>
      <c r="H14" s="13"/>
    </row>
    <row r="15" spans="2:8" ht="21" x14ac:dyDescent="1">
      <c r="B15" s="12">
        <v>3</v>
      </c>
      <c r="C15" s="13" t="s">
        <v>92</v>
      </c>
      <c r="D15" s="13" t="s">
        <v>64</v>
      </c>
      <c r="F15" s="12"/>
      <c r="G15" s="13"/>
      <c r="H15" s="13"/>
    </row>
    <row r="16" spans="2:8" ht="21" x14ac:dyDescent="1">
      <c r="B16" s="12">
        <v>4</v>
      </c>
      <c r="C16" s="13" t="s">
        <v>104</v>
      </c>
      <c r="D16" s="13" t="s">
        <v>64</v>
      </c>
      <c r="F16" s="12"/>
      <c r="G16" s="13"/>
      <c r="H16" s="13"/>
    </row>
    <row r="17" spans="2:8" ht="21" x14ac:dyDescent="1">
      <c r="B17" s="12"/>
      <c r="C17" s="13"/>
      <c r="D17" s="13"/>
      <c r="F17" s="12"/>
      <c r="G17" s="13"/>
      <c r="H17" s="13"/>
    </row>
    <row r="18" spans="2:8" ht="21" x14ac:dyDescent="1">
      <c r="B18" s="12"/>
      <c r="C18" s="13"/>
      <c r="D18" s="13"/>
      <c r="F18" s="12"/>
      <c r="G18" s="13"/>
      <c r="H18" s="13"/>
    </row>
    <row r="19" spans="2:8" ht="21" x14ac:dyDescent="1">
      <c r="B19" s="12"/>
      <c r="C19" s="13"/>
      <c r="D19" s="13"/>
      <c r="F19" s="12"/>
      <c r="G19" s="13"/>
      <c r="H19" s="13"/>
    </row>
    <row r="20" spans="2:8" ht="21" x14ac:dyDescent="1">
      <c r="B20" s="12"/>
      <c r="C20" s="13"/>
      <c r="D20" s="13"/>
      <c r="F20" s="12"/>
      <c r="G20" s="13"/>
      <c r="H20" s="13"/>
    </row>
    <row r="21" spans="2:8" ht="21" x14ac:dyDescent="1">
      <c r="B21" s="12"/>
      <c r="C21" s="13"/>
      <c r="D21" s="13"/>
      <c r="F21" s="12"/>
      <c r="G21" s="13"/>
      <c r="H21" s="13"/>
    </row>
    <row r="22" spans="2:8" ht="21" x14ac:dyDescent="1">
      <c r="B22" s="12"/>
      <c r="C22" s="13"/>
      <c r="D22" s="13"/>
      <c r="F22" s="12"/>
      <c r="G22" s="13"/>
      <c r="H22" s="13"/>
    </row>
    <row r="23" spans="2:8" ht="21" x14ac:dyDescent="1">
      <c r="B23" s="12"/>
      <c r="C23" s="13"/>
      <c r="D23" s="13"/>
      <c r="F23" s="12"/>
      <c r="G23" s="13"/>
      <c r="H23" s="13"/>
    </row>
    <row r="24" spans="2:8" ht="21" x14ac:dyDescent="1">
      <c r="B24" s="12"/>
      <c r="C24" s="13"/>
      <c r="D24" s="13"/>
      <c r="F24" s="12"/>
      <c r="G24" s="13"/>
      <c r="H24" s="13"/>
    </row>
    <row r="25" spans="2:8" ht="21" x14ac:dyDescent="1">
      <c r="B25" s="12"/>
      <c r="C25" s="13"/>
      <c r="D25" s="13"/>
    </row>
    <row r="26" spans="2:8" ht="21" x14ac:dyDescent="1">
      <c r="B26" s="12"/>
      <c r="C26" s="13"/>
      <c r="D26" s="13"/>
    </row>
    <row r="27" spans="2:8" ht="21" x14ac:dyDescent="1">
      <c r="B27" s="12"/>
      <c r="C27" s="13"/>
      <c r="D27" s="13"/>
    </row>
    <row r="28" spans="2:8" ht="21" x14ac:dyDescent="1">
      <c r="B28" s="12"/>
      <c r="C28" s="13"/>
      <c r="D28" s="13"/>
    </row>
    <row r="29" spans="2:8" ht="21" x14ac:dyDescent="1">
      <c r="B29" s="12"/>
    </row>
    <row r="30" spans="2:8" ht="21" x14ac:dyDescent="1">
      <c r="B30" s="12"/>
    </row>
    <row r="31" spans="2:8" ht="22" customHeight="1" x14ac:dyDescent="0.9">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28F3-C017-4B82-BC65-C68D5E181795}">
  <sheetPr codeName="Sheet8"/>
  <dimension ref="C1:ZX77"/>
  <sheetViews>
    <sheetView topLeftCell="G1" zoomScaleNormal="100" workbookViewId="0">
      <selection activeCell="N5" sqref="N5"/>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tr">
        <f>"out of "&amp;COUNTIF(Fives[Company ID (18 Char)],"*")</f>
        <v>out of 4</v>
      </c>
      <c r="M1" s="3">
        <f>IF(J1+1&lt;=K1,J1+1,"DONE")</f>
        <v>2</v>
      </c>
      <c r="N1" s="3"/>
      <c r="O1" t="s">
        <v>53</v>
      </c>
      <c r="ZX1" s="8"/>
    </row>
    <row r="2" spans="3:700" ht="35" x14ac:dyDescent="1.4">
      <c r="C2" s="10" t="s">
        <v>104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110</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Test_Macro.FormatCopyAutomated"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847B1-3723-4951-B7E2-3F25CDDCDFF9}">
  <sheetPr codeName="Sheet7"/>
  <dimension ref="C1:ZX77"/>
  <sheetViews>
    <sheetView topLeftCell="G1" zoomScaleNormal="100" workbookViewId="0">
      <selection activeCell="N5" sqref="N5"/>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tr">
        <f>"out of "&amp;COUNTIF(Fives[Company ID (18 Char)],"*")</f>
        <v>out of 4</v>
      </c>
      <c r="M1" s="3">
        <f>IF(J1+1&lt;=K1,J1+1,"DONE")</f>
        <v>2</v>
      </c>
      <c r="N1" s="3"/>
      <c r="O1" t="s">
        <v>53</v>
      </c>
      <c r="ZX1" s="8"/>
    </row>
    <row r="2" spans="3:700" ht="35" x14ac:dyDescent="1.4">
      <c r="C2" s="10" t="s">
        <v>92</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99</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Test_Macro.FormatCopyAutomated"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642A0-D915-489C-B7CD-F6BD05D12EE6}">
  <sheetPr codeName="Sheet6"/>
  <dimension ref="C1:ZX77"/>
  <sheetViews>
    <sheetView topLeftCell="G1" zoomScaleNormal="100" workbookViewId="0">
      <selection activeCell="N5" sqref="N5"/>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tr">
        <f>"out of "&amp;COUNTIF(Fives[Company ID (18 Char)],"*")</f>
        <v>out of 4</v>
      </c>
      <c r="M1" s="3">
        <f>IF(J1+1&lt;=K1,J1+1,"DONE")</f>
        <v>2</v>
      </c>
      <c r="N1" s="3"/>
      <c r="O1" t="s">
        <v>53</v>
      </c>
      <c r="ZX1" s="8"/>
    </row>
    <row r="2" spans="3:700" ht="35" x14ac:dyDescent="1.4">
      <c r="C2" s="10" t="s">
        <v>78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87</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79</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Test_Macro.FormatCopyAutomated"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8159A-5B86-4159-9A65-C195D755F135}">
  <sheetPr codeName="Sheet5"/>
  <dimension ref="C1:ZX77"/>
  <sheetViews>
    <sheetView topLeftCell="G1" zoomScaleNormal="100" workbookViewId="0">
      <selection activeCell="N5" sqref="N5"/>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tr">
        <f>"out of "&amp;COUNTIF(Fives[Company ID (18 Char)],"*")</f>
        <v>out of 4</v>
      </c>
      <c r="M1" s="3">
        <f>IF(J1+1&lt;=K1,J1+1,"DONE")</f>
        <v>2</v>
      </c>
      <c r="N1" s="3"/>
      <c r="O1" t="s">
        <v>53</v>
      </c>
      <c r="ZX1" s="8"/>
    </row>
    <row r="2" spans="3:700" ht="35" x14ac:dyDescent="1.4">
      <c r="C2" s="10" t="s">
        <v>63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73</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est_Macro.FormatCopyAutomated"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abSelected="1" topLeftCell="G1" zoomScaleNormal="100" workbookViewId="0">
      <selection activeCell="O3" sqref="O3"/>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1</v>
      </c>
      <c r="K1" s="23" t="str">
        <f>"out of "&amp;COUNTIF(Fives[Company ID (18 Char)],"*")</f>
        <v>out of 4</v>
      </c>
      <c r="M1" s="3">
        <f>IF(J1+1&lt;=K1,J1+1,"DONE")</f>
        <v>2</v>
      </c>
      <c r="N1" s="3"/>
      <c r="O1" t="s">
        <v>53</v>
      </c>
      <c r="ZX1" s="8"/>
    </row>
    <row r="2" spans="3:700" ht="35" x14ac:dyDescent="1.4">
      <c r="C2" s="10" t="str" cm="1">
        <f t="array" ref="C2">INDEX(Fives[],$J$1,4)</f>
        <v>Delaget</v>
      </c>
      <c r="M2" s="3"/>
      <c r="N2" s="3"/>
    </row>
    <row r="3" spans="3:700" ht="26.5" x14ac:dyDescent="1.1000000000000001">
      <c r="C3" s="14" t="str" cm="1">
        <f t="array" ref="C3">"Upgraded by "&amp;INDEX(Fives[Upgraded by Combined],$J$1,1)</f>
        <v>Upgraded by Ben MacShane</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tr" cm="1">
        <f t="array" ref="C7">IF(INDEX(Fives[],$J$1,29)=0,"",INDEX(Fives[],$J$1,29))</f>
        <v>Delaget, LLC is an information service, transaction processing, and outsourced services company. The company offers loss prevention, reporting, analytics, and payroll and accounting services. The company serves its clients across the country.</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$15M EOY '23A ARR</v>
      </c>
      <c r="E11" s="17"/>
      <c r="F11" s="15" t="s">
        <v>20</v>
      </c>
      <c r="G11" s="16" t="str" cm="1">
        <f t="array" ref="G11">IF(INDEX(Fives[],$J$1,24)=0,"",INDEX(Fives[],$J$1,24))</f>
        <v>Subscription, per restaurant per month</v>
      </c>
      <c r="M11" s="3"/>
      <c r="N11" s="3"/>
    </row>
    <row r="12" spans="3:700" ht="19.25" x14ac:dyDescent="0.65">
      <c r="C12" s="15" t="s">
        <v>18</v>
      </c>
      <c r="D12" s="21" t="str" cm="1">
        <f t="array" ref="D12">IF(INDEX(Fives[],$J$1,22)=0,"",INDEX(Fives[],$J$1,22))</f>
        <v>~40% 2022 Growth</v>
      </c>
      <c r="E12" s="17"/>
      <c r="F12" s="15" t="s">
        <v>21</v>
      </c>
      <c r="G12" s="16" t="str" cm="1">
        <f t="array" ref="G12">IF(INDEX(Fives[],$J$1,25)=0,"",INDEX(Fives[],$J$1,25))</f>
        <v>One outside shareholder</v>
      </c>
      <c r="M12" s="3"/>
      <c r="N12" s="3"/>
    </row>
    <row r="13" spans="3:700" ht="19.25" x14ac:dyDescent="0.65">
      <c r="C13" s="15" t="s">
        <v>19</v>
      </c>
      <c r="D13" s="22" t="str" cm="1">
        <f t="array" ref="D13">IF(INDEX(Fives[],$J$1,23)=0,"",INDEX(Fives[],$J$1,23))</f>
        <v>CF+ in 1H '24</v>
      </c>
      <c r="E13" s="17"/>
      <c r="F13" s="15" t="s">
        <v>22</v>
      </c>
      <c r="G13" s="16" t="str" cm="1">
        <f t="array" ref="G13">IF(INDEX(Fives[],$J$1,26)=0,"",INDEX(Fives[],$J$1,26))</f>
        <v>None known</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93</v>
      </c>
      <c r="M17" s="3"/>
      <c r="N17" s="3"/>
    </row>
    <row r="18" spans="3:14" ht="19.25" x14ac:dyDescent="0.65">
      <c r="C18" s="15" t="s">
        <v>11</v>
      </c>
      <c r="D18" s="16" t="str" cm="1">
        <f t="array" ref="D18">IF(INDEX(Fives[],$J$1,15)=0,"",INDEX(Fives[],$J$1,15))</f>
        <v>Proprietary</v>
      </c>
      <c r="E18" s="17"/>
      <c r="F18" s="15" t="s">
        <v>39</v>
      </c>
      <c r="G18" s="18" cm="1">
        <f t="array" ref="G18">IF(INDEX(Fives[],$J$1,32)=0,"",INDEX(Fives[],$J$1,32))</f>
        <v>44593</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https://www.delaget.com</v>
      </c>
      <c r="E20" s="17"/>
      <c r="F20" s="15" t="s">
        <v>41</v>
      </c>
      <c r="G20" s="27" cm="1">
        <f t="array" ref="G20">IF(INDEX(Fives[],$J$1,33)=0,"",INDEX(Fives[],$J$1,33))</f>
        <v>400000</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Test_Macro.FormatCopyAutomated"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5"/>
  <sheetViews>
    <sheetView zoomScaleNormal="100" workbookViewId="0">
      <pane ySplit="1" topLeftCell="A2" activePane="bottomLeft" state="frozen"/>
      <selection activeCell="AJ3" sqref="AJ3"/>
      <selection pane="bottomLeft" activeCell="C19" sqref="C19"/>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4</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4</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4</v>
      </c>
      <c r="AL4" t="str">
        <f>IF(Fives[[#This Row],[Split Credit]]="",Fives[[#This Row],[Upgraded By]],IF(ISNUMBER(FIND(Fives[[#This Row],[Upgraded By]],Fives[[#This Row],[Split Credit]])),Fives[[#This Row],[Split Credit]],Fives[[#This Row],[Upgraded By]]&amp;"; "&amp;Fives[[#This Row],[Split Credit]]))</f>
        <v>Ben MacShane</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4</v>
      </c>
      <c r="AL5"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Cover</vt:lpstr>
      <vt:lpstr>Smarty</vt:lpstr>
      <vt:lpstr>HeroDevs</vt:lpstr>
      <vt:lpstr>CCR</vt:lpstr>
      <vt:lpstr>Delaget</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2024-03-26T18:56:33Z</dcterms:modified>
</cp:coreProperties>
</file>