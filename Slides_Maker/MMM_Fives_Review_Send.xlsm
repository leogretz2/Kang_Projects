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86d5cbeabbfe5733/Documents/Sagemount/Slides_Maker/"/>
    </mc:Choice>
  </mc:AlternateContent>
  <xr:revisionPtr revIDLastSave="791" documentId="13_ncr:1_{ADA087E8-2633-45EC-A5CE-C042D3DFB3E4}" xr6:coauthVersionLast="47" xr6:coauthVersionMax="47" xr10:uidLastSave="{8854117E-728B-4E20-96ED-F6D4D12B8DB9}"/>
  <bookViews>
    <workbookView xWindow="1328" yWindow="1477" windowWidth="20414" windowHeight="11888" activeTab="1" xr2:uid="{00000000-000D-0000-FFFF-FFFF00000000}"/>
  </bookViews>
  <sheets>
    <sheet name="Cover" sheetId="4" r:id="rId1"/>
    <sheet name="Main" sheetId="3" r:id="rId2"/>
    <sheet name="Data" sheetId="227" r:id="rId3"/>
  </sheets>
  <functionGroups builtInGroupCount="19"/>
  <externalReferences>
    <externalReference r:id="rId4"/>
    <externalReference r:id="rId5"/>
  </externalReferences>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5" i="227" l="1"/>
  <c r="AK5" i="227"/>
  <c r="AL4" i="227"/>
  <c r="AK4" i="227"/>
  <c r="AL3" i="227"/>
  <c r="AK3" i="227"/>
  <c r="AL2" i="227"/>
  <c r="AK2" i="227"/>
  <c r="D21" i="3"/>
  <c r="D21" i="3" a="1"/>
  <c r="G20" i="3" a="1"/>
  <c r="G20" i="3" s="1"/>
  <c r="D20" i="3" a="1"/>
  <c r="D20" i="3" s="1"/>
  <c r="G19" i="3" a="1"/>
  <c r="G19" i="3" s="1"/>
  <c r="D19" i="3" a="1"/>
  <c r="D19" i="3" s="1"/>
  <c r="G18" i="3" a="1"/>
  <c r="G18" i="3" s="1"/>
  <c r="D18" i="3" a="1"/>
  <c r="D18" i="3" s="1"/>
  <c r="G17" i="3" a="1"/>
  <c r="G17" i="3" s="1"/>
  <c r="D17" i="3" a="1"/>
  <c r="D17" i="3" s="1"/>
  <c r="G13" i="3" a="1"/>
  <c r="G13" i="3" s="1"/>
  <c r="D13" i="3"/>
  <c r="D13" i="3" a="1"/>
  <c r="G12" i="3" a="1"/>
  <c r="G12" i="3" s="1"/>
  <c r="D12" i="3" a="1"/>
  <c r="D12" i="3" s="1"/>
  <c r="G11" i="3" a="1"/>
  <c r="G11" i="3" s="1"/>
  <c r="D11" i="3" a="1"/>
  <c r="D11" i="3" s="1"/>
  <c r="C7" i="3" a="1"/>
  <c r="C7" i="3" s="1"/>
  <c r="C3" i="3"/>
  <c r="C3" i="3" a="1"/>
  <c r="C2" i="3" a="1"/>
  <c r="C2" i="3" s="1"/>
  <c r="B9" i="4" l="1"/>
  <c r="K1" i="3" l="1"/>
  <c r="M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<sst xmlns="http://schemas.openxmlformats.org/spreadsheetml/2006/main" count="154" uniqueCount="113">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</sst>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_);\(#,##0.0\)"/>
    <numFmt numFmtId="165" formatCode="[$-409]mmmm\ d\,\ yyyy;@"/>
    <numFmt numFmtId="166" formatCode="&quot;$&quot;#,##0"/>
  </numFmts>
  <fonts count="36"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
      <sz val="12"/>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
      <patternFill patternType="solid">
        <fgColor rgb="FFD9D9D9"/>
        <bgColor rgb="FFD9D9D9"/>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
      <left/>
      <right/>
      <top style="thin">
        <color rgb="FF000000"/>
      </top>
      <bottom style="thin">
        <color rgb="FF000000"/>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38">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35" fillId="37" borderId="18" xfId="0" applyFont="1" applyFill="1" applyBorder="1"/>
    <xf numFmtId="0" fontId="35" fillId="0" borderId="18" xfId="0" applyFont="1" applyBorder="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15">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dxf>
    <dxf>
      <numFmt numFmtId="19" formatCode="m/d/yyyy"/>
    </dxf>
    <dxf>
      <numFmt numFmtId="19" formatCode="m/d/yyyy"/>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3074" name="Button 2" descr="Run"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3075" name="Button 3" descr="Run"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2418000" y="200025"/>
          <a:ext cx="7885113" cy="9884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42367200" y="200025"/>
          <a:ext cx="2657793" cy="600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xlsm" TargetMode="External"/><Relationship Id="rId1" Type="http://schemas.openxmlformats.org/officeDocument/2006/relationships/externalLinkPath" Target="MMM_Fives_Review_Leo_Test_49.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1).xlsm" TargetMode="External"/><Relationship Id="rId1" Type="http://schemas.openxmlformats.org/officeDocument/2006/relationships/externalLinkPath" Target="MMM_Fives_Review_Leo_Test_49(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marty"/>
      <sheetName val="HeroDevs"/>
      <sheetName val="CCR"/>
      <sheetName val="Delaget"/>
      <sheetName val="Main"/>
      <sheetName val="Data"/>
      <sheetName val="MMM_Fives_Review_Leo_Test_49"/>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Data"/>
      <sheetName val="MMM_Fives_Review_Leo_Test_49(1)"/>
    </sheetNames>
    <sheetDataSet>
      <sheetData sheetId="0" refreshError="1"/>
      <sheetData sheetId="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098EAB-1608-4A78-9FEE-F82D7F2CF47E}" name="Fives38" displayName="Fives38" ref="A1:AL5" totalsRowShown="0" dataDxfId="14">
  <autoFilter ref="A1:AL5" xr:uid="{00000000-0009-0000-0100-000001000000}"/>
  <sortState xmlns:xlrd2="http://schemas.microsoft.com/office/spreadsheetml/2017/richdata2" ref="A2:AL2">
    <sortCondition descending="1" ref="AK2"/>
    <sortCondition ref="AL2"/>
    <sortCondition ref="H2"/>
  </sortState>
  <tableColumns count="38">
    <tableColumn id="1" xr3:uid="{32684F44-3E77-4533-BE7B-DA5AF21C1A4B}" name="Company ID (18 Char)"/>
    <tableColumn id="2" xr3:uid="{C7ECD620-9C78-476B-84FC-E3BE1D8359FD}" name="FivesCreated ID (18)"/>
    <tableColumn id="3" xr3:uid="{B85E8436-5498-4F5A-9A58-3E36BA1B228A}" name="Five Created Name"/>
    <tableColumn id="4" xr3:uid="{B31EA5EE-442B-479D-BEF5-DFF77848800F}" name="Company Name"/>
    <tableColumn id="35" xr3:uid="{EA47CF6E-998F-452E-B077-16525D02D695}" name="Company Owner"/>
    <tableColumn id="33" xr3:uid="{36E83C74-A2A4-4F3E-AA6B-D18602A51D37}" name="Team"/>
    <tableColumn id="5" xr3:uid="{C29554ED-03E7-4BC6-B26A-DC97155D84ED}" name="Upgraded By"/>
    <tableColumn id="6" xr3:uid="{5C58AC0E-4EFD-43BC-8FA4-184E3E65FE93}" name="Edit Date" dataDxfId="13"/>
    <tableColumn id="7" xr3:uid="{F1E2BB65-20BB-45F1-A4E9-5F48F5CD8217}" name="Old Value"/>
    <tableColumn id="8" xr3:uid="{61351C3A-D92A-41C5-9DA3-BF863BA898F9}" name="New Value"/>
    <tableColumn id="9" xr3:uid="{8157C7EA-A871-428B-A160-588D521FFA2D}" name="Gene Accepted"/>
    <tableColumn id="10" xr3:uid="{E25D4EE3-3099-4BA3-BD63-E76AD5D58026}" name="Assign Senior: Full Name"/>
    <tableColumn id="11" xr3:uid="{719F7498-98BB-4101-BB49-55BA8158D681}" name="Gene's Comments"/>
    <tableColumn id="12" xr3:uid="{17E038CA-C889-4E88-BEC6-2BB9D14B41E0}" name="Current Prospect Status"/>
    <tableColumn id="13" xr3:uid="{F07089AF-0448-470B-9BE1-97D9EB57C6E7}" name="Prospect Source"/>
    <tableColumn id="14" xr3:uid="{E8EFA0E8-7A55-46C3-A805-0E92F7353FBC}" name="Split Credit"/>
    <tableColumn id="15" xr3:uid="{174202D6-BEFC-4116-B3A4-A595A5615300}" name="Exclude Commissions"/>
    <tableColumn id="16" xr3:uid="{4E4788A3-C115-4F55-8C8F-8F29F7F9457A}" name="Last Meaningful Interaction Date" dataDxfId="12"/>
    <tableColumn id="17" xr3:uid="{4BE8F603-8DB0-4EDF-B813-33C5541A3542}" name="Last Meaningful Interaction"/>
    <tableColumn id="18" xr3:uid="{66F87E66-F53F-4523-858A-64E179F5F01D}" name="Last Activity" dataDxfId="11"/>
    <tableColumn id="19" xr3:uid="{CD07D4E6-7B60-4662-9E7E-B94072F6312B}" name="Scale Notes"/>
    <tableColumn id="20" xr3:uid="{93F3275E-35FB-42E3-8721-700D9DF6E41C}" name="Growth Notes"/>
    <tableColumn id="21" xr3:uid="{40E9B19B-A81E-4E84-A2BC-D9F22363D6B4}" name="Profitability Notes"/>
    <tableColumn id="22" xr3:uid="{C9AE0A2A-C6A0-4BB5-BCD9-88AA67A73F6F}" name="Revenue Model Notes"/>
    <tableColumn id="23" xr3:uid="{70B4D02E-F5CF-441E-92F6-E6271546350D}" name="Ownership Dynamic Notes"/>
    <tableColumn id="24" xr3:uid="{EEC56DD2-8648-4A5E-A79D-6FAA506693B6}" name="Concentrations Notes"/>
    <tableColumn id="25" xr3:uid="{9151C3E9-D771-4FB0-8B4F-540B8B2F411E}" name="Capital Structure Notes"/>
    <tableColumn id="26" xr3:uid="{C97F6439-968D-424F-9F06-06379351210D}" name="Invested Capital ($)" dataDxfId="10"/>
    <tableColumn id="27" xr3:uid="{3EC9F9F3-6D36-41D9-93E1-3E50FC55C336}" name="Description" dataDxfId="9"/>
    <tableColumn id="28" xr3:uid="{98798E63-F069-4012-812C-7008447BE7CE}" name="Employees (SS)" dataDxfId="8"/>
    <tableColumn id="29" xr3:uid="{27ADC75D-465F-47C0-8DF9-30B594B66115}" name="Latest Raised (SS)" dataDxfId="7"/>
    <tableColumn id="30" xr3:uid="{0D708130-F07A-4C30-83A1-64F40A179C93}" name="Latest Raised Date (SS)" dataDxfId="6"/>
    <tableColumn id="31" xr3:uid="{4197C3CA-B8EC-4A82-B89D-7D0686CAC16E}" name="Total Raised (SS)" dataDxfId="5"/>
    <tableColumn id="32" xr3:uid="{C517725F-7184-4591-95BA-0BD83B1C994B}" name="Ownership (SS)" dataDxfId="4"/>
    <tableColumn id="34" xr3:uid="{DE401D7F-AD95-445D-B946-8923C7E27E9B}" name="Website" dataDxfId="3"/>
    <tableColumn id="38" xr3:uid="{916D9970-65AD-4FCD-A3A5-0B396930BE40}" name="HQ" dataDxfId="2"/>
    <tableColumn id="36" xr3:uid="{C4A625B9-3B05-4F8D-836D-5553537B513D}" name="Count by Upgraded" dataDxfId="1">
      <calculatedColumnFormula>COUNTIF(#REF!,#REF!)</calculatedColumnFormula>
    </tableColumn>
    <tableColumn id="37" xr3:uid="{B6ACE3CA-6A1E-4F76-80E3-B6F2ADE906F1}" name="Upgraded by Combined" dataDxfId="0"/>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zoomScaleNormal="100" workbookViewId="0">
      <selection activeCell="G15" sqref="G15"/>
    </sheetView>
  </sheetViews>
  <sheetFormatPr defaultColWidth="7.6875" defaultRowHeight="11.65" x14ac:dyDescent="0.35"/>
  <cols>
    <col min="1" max="1" width="5.1875" style="1" customWidth="1"/>
    <col min="2" max="2" width="5" style="6" customWidth="1"/>
    <col min="3" max="3" width="38" style="1" customWidth="1"/>
    <col min="4" max="4" width="56.6875" style="1" customWidth="1"/>
    <col min="5" max="5" width="5.3125" style="1" customWidth="1"/>
    <col min="6" max="6" width="5" style="1" customWidth="1"/>
    <col min="7" max="7" width="45" style="1" customWidth="1"/>
    <col min="8" max="8" width="39.3125" style="1" customWidth="1"/>
    <col min="9" max="16384" width="7.6875" style="1"/>
  </cols>
  <sheetData>
    <row r="1" spans="2:8" ht="30" customHeight="1" x14ac:dyDescent="0.35"/>
    <row r="6" spans="2:8" ht="36" customHeight="1" x14ac:dyDescent="0.35"/>
    <row r="7" spans="2:8" ht="13.05" customHeight="1" x14ac:dyDescent="0.35"/>
    <row r="8" spans="2:8" ht="35.25" x14ac:dyDescent="0.95">
      <c r="B8" s="11" t="s">
        <v>54</v>
      </c>
    </row>
    <row r="9" spans="2:8" ht="24.75" x14ac:dyDescent="0.35">
      <c r="B9" s="30" t="str">
        <f ca="1">"Week of "&amp;TEXT(TODAY(),"M/D/YYYY")</f>
        <v>Week of 4/19/2024</v>
      </c>
    </row>
    <row r="10" spans="2:8" ht="21" x14ac:dyDescent="0.65">
      <c r="B10" s="12"/>
      <c r="C10" s="13"/>
      <c r="D10" s="13"/>
    </row>
    <row r="11" spans="2:8" ht="15.75" x14ac:dyDescent="0.5">
      <c r="B11" s="5"/>
      <c r="C11"/>
    </row>
    <row r="12" spans="2:8" ht="21" x14ac:dyDescent="0.65">
      <c r="B12" s="24" t="s">
        <v>48</v>
      </c>
      <c r="C12" s="25" t="s">
        <v>3</v>
      </c>
      <c r="D12" s="26" t="s">
        <v>35</v>
      </c>
      <c r="F12" s="24" t="s">
        <v>48</v>
      </c>
      <c r="G12" s="25" t="s">
        <v>3</v>
      </c>
      <c r="H12" s="26" t="s">
        <v>35</v>
      </c>
    </row>
    <row r="13" spans="2:8" ht="21" x14ac:dyDescent="0.65">
      <c r="B13" s="12"/>
      <c r="C13" s="13"/>
      <c r="D13" s="13"/>
      <c r="F13" s="12"/>
      <c r="G13" s="13"/>
      <c r="H13" s="13"/>
    </row>
    <row r="14" spans="2:8" ht="21" x14ac:dyDescent="0.65">
      <c r="B14" s="12"/>
      <c r="C14" s="13"/>
      <c r="D14" s="13"/>
      <c r="F14" s="12"/>
      <c r="G14" s="13"/>
      <c r="H14" s="13"/>
    </row>
    <row r="15" spans="2:8" ht="21" x14ac:dyDescent="0.65">
      <c r="B15" s="12"/>
      <c r="C15" s="13"/>
      <c r="D15" s="13"/>
      <c r="F15" s="12"/>
      <c r="G15" s="13"/>
      <c r="H15" s="13"/>
    </row>
    <row r="16" spans="2:8" ht="21" x14ac:dyDescent="0.65">
      <c r="B16" s="12"/>
      <c r="C16" s="13"/>
      <c r="D16" s="13"/>
      <c r="F16" s="12"/>
      <c r="G16" s="13"/>
      <c r="H16" s="13"/>
    </row>
    <row r="17" spans="2:8" ht="21" x14ac:dyDescent="0.65">
      <c r="B17" s="12"/>
      <c r="C17" s="13"/>
      <c r="D17" s="13"/>
      <c r="F17" s="12"/>
      <c r="G17" s="13"/>
      <c r="H17" s="13"/>
    </row>
    <row r="18" spans="2:8" ht="21" x14ac:dyDescent="0.65">
      <c r="B18" s="12"/>
      <c r="C18" s="13"/>
      <c r="D18" s="13"/>
      <c r="F18" s="12"/>
      <c r="G18" s="13"/>
      <c r="H18" s="13"/>
    </row>
    <row r="19" spans="2:8" ht="21" x14ac:dyDescent="0.65">
      <c r="B19" s="12"/>
      <c r="C19" s="13"/>
      <c r="D19" s="13"/>
      <c r="F19" s="12"/>
      <c r="G19" s="13"/>
      <c r="H19" s="13"/>
    </row>
    <row r="20" spans="2:8" ht="21" x14ac:dyDescent="0.65">
      <c r="B20" s="12"/>
      <c r="C20" s="13"/>
      <c r="D20" s="13"/>
      <c r="F20" s="12"/>
      <c r="G20" s="13"/>
      <c r="H20" s="13"/>
    </row>
    <row r="21" spans="2:8" ht="21" x14ac:dyDescent="0.65">
      <c r="B21" s="12"/>
      <c r="C21" s="13"/>
      <c r="D21" s="13"/>
      <c r="F21" s="12"/>
      <c r="G21" s="13"/>
      <c r="H21" s="13"/>
    </row>
    <row r="22" spans="2:8" ht="21" x14ac:dyDescent="0.65">
      <c r="B22" s="12"/>
      <c r="C22" s="13"/>
      <c r="D22" s="13"/>
      <c r="F22" s="12"/>
      <c r="G22" s="13"/>
      <c r="H22" s="13"/>
    </row>
    <row r="23" spans="2:8" ht="21" x14ac:dyDescent="0.65">
      <c r="B23" s="12"/>
      <c r="C23" s="13"/>
      <c r="D23" s="13"/>
      <c r="F23" s="12"/>
      <c r="G23" s="13"/>
      <c r="H23" s="13"/>
    </row>
    <row r="24" spans="2:8" ht="21" x14ac:dyDescent="0.65">
      <c r="B24" s="12"/>
      <c r="C24" s="13"/>
      <c r="D24" s="13"/>
      <c r="F24" s="12"/>
      <c r="G24" s="13"/>
      <c r="H24" s="13"/>
    </row>
    <row r="25" spans="2:8" ht="21" x14ac:dyDescent="0.65">
      <c r="B25" s="12"/>
      <c r="C25" s="13"/>
      <c r="D25" s="13"/>
    </row>
    <row r="26" spans="2:8" ht="21" x14ac:dyDescent="0.65">
      <c r="B26" s="12"/>
      <c r="C26" s="13"/>
      <c r="D26" s="13"/>
    </row>
    <row r="27" spans="2:8" ht="21" x14ac:dyDescent="0.65">
      <c r="B27" s="12"/>
      <c r="C27" s="13"/>
      <c r="D27" s="13"/>
    </row>
    <row r="28" spans="2:8" ht="21" x14ac:dyDescent="0.65">
      <c r="B28" s="12"/>
      <c r="C28" s="13"/>
      <c r="D28" s="13"/>
    </row>
    <row r="29" spans="2:8" ht="21" x14ac:dyDescent="0.65">
      <c r="B29" s="12"/>
    </row>
    <row r="30" spans="2:8" ht="21" x14ac:dyDescent="0.65">
      <c r="B30" s="12"/>
    </row>
    <row r="31" spans="2:8" ht="22.05" customHeight="1" x14ac:dyDescent="0.55000000000000004">
      <c r="C31" s="32" t="s">
        <v>112</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tabSelected="1" zoomScale="63" zoomScaleNormal="100" workbookViewId="0">
      <selection activeCell="H13" sqref="H13"/>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tr" cm="1">
        <f t="array" ref="C2">INDEX([1]!Fives[#Data],$J$1,4)</f>
        <v>Delaget</v>
      </c>
      <c r="M2" s="3"/>
      <c r="N2" s="3"/>
    </row>
    <row r="3" spans="3:700" ht="26.25" x14ac:dyDescent="0.7">
      <c r="C3" s="14" t="str" cm="1">
        <f t="array" ref="C3">"Upgraded by "&amp;INDEX([1]!Fives[Upgraded by Combined],$J$1,1)</f>
        <v>Upgraded by Ben MacShane</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35" t="str" cm="1">
        <f t="array" ref="C7">IF(INDEX([1]!Fives[#Data],$J$1,29)=0,"",INDEX([1]!Fives[#Data],$J$1,29))</f>
        <v>Delaget, LLC is an information service, transaction processing, and outsourced services company. The company offers loss prevention, reporting, analytics, and payroll and accounting services. The company serves its clients across the country.</v>
      </c>
      <c r="D7" s="36"/>
      <c r="E7" s="36"/>
      <c r="F7" s="36"/>
      <c r="G7" s="37"/>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tr" cm="1">
        <f t="array" ref="D11">IF(INDEX([1]!Fives[#Data],$J$1,21)=0,"",INDEX([1]!Fives[#Data],$J$1,21))</f>
        <v>$15M EOY '23A ARR</v>
      </c>
      <c r="E11" s="17"/>
      <c r="F11" s="15" t="s">
        <v>20</v>
      </c>
      <c r="G11" s="16" t="str" cm="1">
        <f t="array" ref="G11">IF(INDEX([1]!Fives[#Data],$J$1,24)=0,"",INDEX([1]!Fives[#Data],$J$1,24))</f>
        <v>Subscription, per restaurant per month</v>
      </c>
      <c r="M11" s="3"/>
      <c r="N11" s="3"/>
    </row>
    <row r="12" spans="3:700" ht="18.75" x14ac:dyDescent="0.4">
      <c r="C12" s="15" t="s">
        <v>18</v>
      </c>
      <c r="D12" s="21" t="str" cm="1">
        <f t="array" ref="D12">IF(INDEX([1]!Fives[#Data],$J$1,22)=0,"",INDEX([1]!Fives[#Data],$J$1,22))</f>
        <v>~40% 2022 Growth</v>
      </c>
      <c r="E12" s="17"/>
      <c r="F12" s="15" t="s">
        <v>21</v>
      </c>
      <c r="G12" s="16" t="str" cm="1">
        <f t="array" ref="G12">IF(INDEX([1]!Fives[#Data],$J$1,25)=0,"",INDEX([1]!Fives[#Data],$J$1,25))</f>
        <v>One outside shareholder</v>
      </c>
      <c r="M12" s="3"/>
      <c r="N12" s="3"/>
    </row>
    <row r="13" spans="3:700" ht="18.75" x14ac:dyDescent="0.4">
      <c r="C13" s="15" t="s">
        <v>19</v>
      </c>
      <c r="D13" s="22" t="str" cm="1">
        <f t="array" ref="D13">IF(INDEX([1]!Fives[#Data],$J$1,23)=0,"",INDEX([1]!Fives[#Data],$J$1,23))</f>
        <v>CF+ in 1H '24</v>
      </c>
      <c r="E13" s="17"/>
      <c r="F13" s="15" t="s">
        <v>22</v>
      </c>
      <c r="G13" s="16" t="str" cm="1">
        <f t="array" ref="G13">IF(INDEX([1]!Fives[#Data],$J$1,26)=0,"",INDEX([1]!Fives[#Data],$J$1,26))</f>
        <v>None known</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tr" cm="1">
        <f t="array" ref="D17">IF(INDEX([1]!Fives[#Data],$J$1,6)="",INDEX([1]!Fives[#Data],$J$1,5),IF(ISNUMBER(FIND(INDEX([1]!Fives[#Data],$J$1,5),INDEX([1]!Fives[#Data],$J$1,6))),INDEX([1]!Fives[#Data],$J$1,6),INDEX([1]!Fives[#Data],$J$1,5)&amp;"; "&amp;INDEX([1]!Fives[#Data],$J$1,6)))</f>
        <v>Ben MacShane</v>
      </c>
      <c r="E17" s="17"/>
      <c r="F17" s="15" t="s">
        <v>42</v>
      </c>
      <c r="G17" s="16" cm="1">
        <f t="array" ref="G17">IF(INDEX([1]!Fives[#Data],$J$1,30)=0,"",INDEX([1]!Fives[#Data],$J$1,30))</f>
        <v>93</v>
      </c>
      <c r="M17" s="3"/>
      <c r="N17" s="3"/>
    </row>
    <row r="18" spans="3:14" ht="18.75" x14ac:dyDescent="0.4">
      <c r="C18" s="15" t="s">
        <v>11</v>
      </c>
      <c r="D18" s="16" t="str" cm="1">
        <f t="array" ref="D18">IF(INDEX([1]!Fives[#Data],$J$1,15)=0,"",INDEX([1]!Fives[#Data],$J$1,15))</f>
        <v>Proprietary</v>
      </c>
      <c r="E18" s="17"/>
      <c r="F18" s="15" t="s">
        <v>39</v>
      </c>
      <c r="G18" s="18" cm="1">
        <f t="array" ref="G18">IF(INDEX([1]!Fives[#Data],$J$1,32)=0,"",INDEX([1]!Fives[#Data],$J$1,32))</f>
        <v>44593</v>
      </c>
      <c r="M18" s="3"/>
      <c r="N18" s="3"/>
    </row>
    <row r="19" spans="3:14" ht="18.75" x14ac:dyDescent="0.4">
      <c r="C19" s="15" t="s">
        <v>12</v>
      </c>
      <c r="D19" s="16" t="str" cm="1">
        <f t="array" ref="D19">IF(INDEX([1]!Fives[#Data],$J$1,16)=0,"",INDEX([1]!Fives[#Data],$J$1,16))</f>
        <v/>
      </c>
      <c r="E19" s="17"/>
      <c r="F19" s="15" t="s">
        <v>40</v>
      </c>
      <c r="G19" s="27" t="str" cm="1">
        <f t="array" ref="G19">IF(INDEX([1]!Fives[#Data],$J$1,31)=0,"",INDEX([1]!Fives[#Data],$J$1,31))</f>
        <v/>
      </c>
      <c r="M19" s="3"/>
      <c r="N19" s="3"/>
    </row>
    <row r="20" spans="3:14" ht="18.75" x14ac:dyDescent="0.4">
      <c r="C20" s="15" t="s">
        <v>38</v>
      </c>
      <c r="D20" s="16" t="str" cm="1">
        <f t="array" ref="D20">IF(INDEX([1]!Fives[#Data],$J$1,35)=0,"",INDEX([1]!Fives[#Data],$J$1,35))</f>
        <v>https://www.delaget.com</v>
      </c>
      <c r="E20" s="17"/>
      <c r="F20" s="15" t="s">
        <v>41</v>
      </c>
      <c r="G20" s="27" cm="1">
        <f t="array" ref="G20">IF(INDEX([1]!Fives[#Data],$J$1,33)=0,"",INDEX([1]!Fives[#Data],$J$1,33))</f>
        <v>400000</v>
      </c>
      <c r="M20" s="3"/>
      <c r="N20" s="3"/>
    </row>
    <row r="21" spans="3:14" ht="18.75" x14ac:dyDescent="0.5">
      <c r="C21" s="29" t="s">
        <v>52</v>
      </c>
      <c r="D21" s="28" t="str" cm="1">
        <f t="array" ref="D21">IF(INDEX([1]!Fives[#Data],$J$1,36)=0,"",INDEX([1]!Fives[#Data],$J$1,36))</f>
        <v>USA</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3075" r:id="rId4" name="Button 3">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81186-D744-46FE-A986-980A11B99686}">
  <sheetPr codeName="Sheet6"/>
  <dimension ref="A1:AL5"/>
  <sheetViews>
    <sheetView zoomScaleNormal="100" workbookViewId="0">
      <pane ySplit="1" topLeftCell="A2" activePane="bottomLeft" state="frozen"/>
      <selection activeCell="AJ3" sqref="AJ3"/>
      <selection pane="bottomLeft" activeCell="A5" sqref="A5"/>
    </sheetView>
  </sheetViews>
  <sheetFormatPr defaultColWidth="11" defaultRowHeight="15.75" x14ac:dyDescent="0.5"/>
  <cols>
    <col min="1" max="1" width="21.5" customWidth="1"/>
    <col min="2" max="2" width="20.3125" customWidth="1"/>
    <col min="3" max="3" width="19.3125" customWidth="1"/>
    <col min="4" max="4" width="23.8125" customWidth="1"/>
    <col min="5" max="5" width="17.3125" bestFit="1" customWidth="1"/>
    <col min="6" max="6" width="18" customWidth="1"/>
    <col min="7" max="7" width="23.3125" customWidth="1"/>
    <col min="8" max="8" width="11.3125" bestFit="1" customWidth="1"/>
    <col min="9" max="10" width="22.8125" hidden="1" customWidth="1"/>
    <col min="11" max="11" width="20.3125" hidden="1" customWidth="1"/>
    <col min="12" max="12" width="15.8125" hidden="1" customWidth="1"/>
    <col min="13" max="13" width="24" hidden="1" customWidth="1"/>
    <col min="14" max="14" width="18.5" customWidth="1"/>
    <col min="15" max="15" width="22.6875" customWidth="1"/>
    <col min="16" max="16" width="19.3125" customWidth="1"/>
    <col min="17" max="17" width="16.5" hidden="1" customWidth="1"/>
    <col min="18" max="18" width="12.5" hidden="1" customWidth="1"/>
    <col min="19" max="19" width="21.1875" hidden="1" customWidth="1"/>
    <col min="20" max="20" width="30.5" hidden="1" customWidth="1"/>
    <col min="21" max="21" width="26" customWidth="1"/>
    <col min="22" max="22" width="13.6875" customWidth="1"/>
    <col min="23" max="23" width="23.1875" customWidth="1"/>
    <col min="24" max="24" width="15" customWidth="1"/>
    <col min="25" max="25" width="18.5" customWidth="1"/>
    <col min="26" max="26" width="21.6875" customWidth="1"/>
    <col min="27" max="27" width="21.8125" hidden="1" customWidth="1"/>
    <col min="28" max="28" width="25.5" hidden="1" customWidth="1"/>
    <col min="29" max="29" width="25.6875" customWidth="1"/>
    <col min="30" max="30" width="22.5" customWidth="1"/>
    <col min="31" max="31" width="19.5" customWidth="1"/>
    <col min="32" max="32" width="12.8125" customWidth="1"/>
    <col min="33" max="33" width="16.3125" customWidth="1"/>
    <col min="34" max="34" width="18.3125" customWidth="1"/>
    <col min="35" max="36" width="22.8125" customWidth="1"/>
    <col min="37" max="37" width="19.5" bestFit="1" customWidth="1"/>
    <col min="38" max="38" width="35.3125" bestFit="1" customWidth="1"/>
    <col min="40" max="40" width="11.8125" customWidth="1"/>
  </cols>
  <sheetData>
    <row r="1" spans="1:38" x14ac:dyDescent="0.5">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5">
      <c r="A2" t="s">
        <v>60</v>
      </c>
      <c r="B2" t="s">
        <v>61</v>
      </c>
      <c r="C2" t="s">
        <v>62</v>
      </c>
      <c r="D2" s="33"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t="e">
        <f>COUNTIF(#REF!,#REF!)</f>
        <v>#REF!</v>
      </c>
      <c r="AL2" t="e">
        <f>IF(#REF!="",#REF!,IF(ISNUMBER(FIND([2]!Fives[[#This Row],[Upgraded By]],[2]!Fives[[#This Row],[Split Credit]])),[2]!Fives[[#This Row],[Split Credit]],[2]!Fives[[#This Row],[Upgraded By]]&amp;"; "&amp;[2]!Fives[[#This Row],[Split Credit]]))</f>
        <v>#REF!</v>
      </c>
    </row>
    <row r="3" spans="1:38" x14ac:dyDescent="0.5">
      <c r="A3" t="s">
        <v>75</v>
      </c>
      <c r="B3" t="s">
        <v>76</v>
      </c>
      <c r="C3" t="s">
        <v>77</v>
      </c>
      <c r="D3" s="34"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t="e">
        <f>COUNTIF(#REF!,#REF!)</f>
        <v>#REF!</v>
      </c>
      <c r="AL3" t="e">
        <f>IF(#REF!="",#REF!,IF(ISNUMBER(FIND([2]!Fives[[#This Row],[Upgraded By]],[2]!Fives[[#This Row],[Split Credit]])),[2]!Fives[[#This Row],[Split Credit]],[2]!Fives[[#This Row],[Upgraded By]]&amp;"; "&amp;[2]!Fives[[#This Row],[Split Credit]]))</f>
        <v>#REF!</v>
      </c>
    </row>
    <row r="4" spans="1:38" x14ac:dyDescent="0.5">
      <c r="A4" t="s">
        <v>89</v>
      </c>
      <c r="B4" t="s">
        <v>90</v>
      </c>
      <c r="C4" t="s">
        <v>91</v>
      </c>
      <c r="D4" s="33"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t="e">
        <f>COUNTIF(#REF!,#REF!)</f>
        <v>#REF!</v>
      </c>
      <c r="AL4" t="e">
        <f>IF(#REF!="",#REF!,IF(ISNUMBER(FIND([2]!Fives[[#This Row],[Upgraded By]],[2]!Fives[[#This Row],[Split Credit]])),[2]!Fives[[#This Row],[Split Credit]],[2]!Fives[[#This Row],[Upgraded By]]&amp;"; "&amp;[2]!Fives[[#This Row],[Split Credit]]))</f>
        <v>#REF!</v>
      </c>
    </row>
    <row r="5" spans="1:38" x14ac:dyDescent="0.5">
      <c r="A5" t="s">
        <v>101</v>
      </c>
      <c r="B5" t="s">
        <v>102</v>
      </c>
      <c r="C5" t="s">
        <v>103</v>
      </c>
      <c r="D5" s="34"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t="e">
        <f>COUNTIF(#REF!,#REF!)</f>
        <v>#REF!</v>
      </c>
      <c r="AL5" t="e">
        <f>IF(#REF!="",#REF!,IF(ISNUMBER(FIND([2]!Fives[[#This Row],[Upgraded By]],[2]!Fives[[#This Row],[Split Credit]])),[2]!Fives[[#This Row],[Split Credit]],[2]!Fives[[#This Row],[Upgraded By]]&amp;"; "&amp;[2]!Fives[[#This Row],[Split Credit]]))</f>
        <v>#REF!</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Cover</vt:lpstr>
      <vt:lpstr>Main</vt:lpstr>
      <vt:lpstr>Data</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2024-04-19T17:41:43Z</dcterms:modified>
</cp:coreProperties>
</file>