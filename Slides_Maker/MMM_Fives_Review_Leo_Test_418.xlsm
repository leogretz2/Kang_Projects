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86d5cbeabbfe5733/Documents/Sagemount/Slides_Maker/"/>
    </mc:Choice>
  </mc:AlternateContent>
  <xr:revisionPtr revIDLastSave="693" documentId="13_ncr:1_{ADA087E8-2633-45EC-A5CE-C042D3DFB3E4}" xr6:coauthVersionLast="47" xr6:coauthVersionMax="47" xr10:uidLastSave="{C54E968A-6093-41E2-80CE-A3FA172FFDF1}"/>
  <bookViews>
    <workbookView xWindow="1328" yWindow="1477" windowWidth="20414" windowHeight="11888" activeTab="1" xr2:uid="{00000000-000D-0000-FFFF-FFFF00000000}"/>
  </bookViews>
  <sheets>
    <sheet name="Cover" sheetId="4" r:id="rId1"/>
    <sheet name="Main" sheetId="3" r:id="rId2"/>
    <sheet name="Data" sheetId="227" r:id="rId3"/>
    <sheet name="Data2" sheetId="6" r:id="rId4"/>
  </sheets>
  <functionGroups builtInGroupCount="19"/>
  <externalReferences>
    <externalReference r:id="rId5"/>
    <externalReference r:id="rId6"/>
  </externalReference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5" i="227" l="1"/>
  <c r="AK5" i="227"/>
  <c r="AL4" i="227"/>
  <c r="AK4" i="227"/>
  <c r="AL3" i="227"/>
  <c r="AK3" i="227"/>
  <c r="AL2" i="227"/>
  <c r="AK2" i="227"/>
  <c r="AL2" i="6"/>
  <c r="AL3" i="6"/>
  <c r="AL4" i="6"/>
  <c r="AL5" i="6"/>
  <c r="AL6" i="6"/>
  <c r="AL7" i="6"/>
  <c r="AL8" i="6"/>
  <c r="AL9" i="6"/>
  <c r="AL10" i="6"/>
  <c r="AL11" i="6"/>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K2" i="6"/>
  <c r="AK3" i="6"/>
  <c r="AK4" i="6"/>
  <c r="AK5" i="6"/>
  <c r="AK6" i="6"/>
  <c r="AK7" i="6"/>
  <c r="AK8" i="6"/>
  <c r="AK9" i="6"/>
  <c r="AK10" i="6"/>
  <c r="AK11" i="6"/>
  <c r="AK12" i="6"/>
  <c r="AK13" i="6"/>
  <c r="AK14" i="6"/>
  <c r="AK15" i="6"/>
  <c r="AK16" i="6"/>
  <c r="AK17" i="6"/>
  <c r="AK18" i="6"/>
  <c r="AK19" i="6"/>
  <c r="AK20" i="6"/>
  <c r="AK21" i="6"/>
  <c r="AK22" i="6"/>
  <c r="AK23" i="6"/>
  <c r="AK24" i="6"/>
  <c r="AK25" i="6"/>
  <c r="AK26" i="6"/>
  <c r="AK27" i="6"/>
  <c r="AK28" i="6"/>
  <c r="AK29" i="6"/>
  <c r="AK30" i="6"/>
  <c r="AK31" i="6"/>
  <c r="AK32" i="6"/>
  <c r="AK33" i="6"/>
  <c r="AK34" i="6"/>
  <c r="AK35" i="6"/>
  <c r="AK36" i="6"/>
  <c r="AK37" i="6"/>
  <c r="AK38" i="6"/>
  <c r="AK39" i="6"/>
  <c r="AK40" i="6"/>
  <c r="AK41" i="6"/>
  <c r="AK42" i="6"/>
  <c r="AK43" i="6"/>
  <c r="AK44" i="6"/>
  <c r="AK45" i="6"/>
  <c r="D21" i="3"/>
  <c r="D21" i="3" a="1"/>
  <c r="G20" i="3" a="1"/>
  <c r="G20" i="3" s="1"/>
  <c r="D20" i="3" a="1"/>
  <c r="D20" i="3" s="1"/>
  <c r="G19" i="3" a="1"/>
  <c r="G19" i="3" s="1"/>
  <c r="D19" i="3" a="1"/>
  <c r="D19" i="3" s="1"/>
  <c r="G18" i="3" a="1"/>
  <c r="G18" i="3" s="1"/>
  <c r="D18" i="3" a="1"/>
  <c r="D18" i="3" s="1"/>
  <c r="G17" i="3" a="1"/>
  <c r="G17" i="3" s="1"/>
  <c r="D17" i="3" a="1"/>
  <c r="D17" i="3" s="1"/>
  <c r="G13" i="3" a="1"/>
  <c r="G13" i="3" s="1"/>
  <c r="D13" i="3" a="1"/>
  <c r="D13" i="3" s="1"/>
  <c r="G12" i="3" a="1"/>
  <c r="G12" i="3" s="1"/>
  <c r="D12" i="3" a="1"/>
  <c r="D12" i="3" s="1"/>
  <c r="G11" i="3" a="1"/>
  <c r="G11" i="3" s="1"/>
  <c r="D11" i="3" a="1"/>
  <c r="D11" i="3" s="1"/>
  <c r="C7" i="3" a="1"/>
  <c r="C7" i="3" s="1"/>
  <c r="C3" i="3" a="1"/>
  <c r="C3" i="3" s="1"/>
  <c r="C2" i="3" a="1"/>
  <c r="C2" i="3" s="1"/>
  <c r="B9" i="4" l="1"/>
  <c r="K1" i="3" l="1"/>
  <c r="M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<sst xmlns="http://schemas.openxmlformats.org/spreadsheetml/2006/main" count="1171" uniqueCount="153">
  <si>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</si>
  <si>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</si>
  <si>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</si>
  <si>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</si>
  <si>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</si>
  <si>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</si>
  <si>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</si>
  <si>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</si>
  <si>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</si>
  <si>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</si>
  <si>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</si>
  <si>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</si>
  <si>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</si>
  <si>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</si>
  <si>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</si>
  <si>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</si>
  <si>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</si>
  <si>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</si>
  <si>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</si>
  <si>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</si>
  <si>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</si>
  <si>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</si>
  <si>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</si>
  <si>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</si>
  <si>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</si>
  <si>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</si>
  <si>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</si>
  <si>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</si>
  <si>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</si>
  <si>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</si>
  <si>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</si>
  <si>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</si>
  <si>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</si>
  <si>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</si>
  <si>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</si>
  <si>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</si>
  <si>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</si>
  <si>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</si>
  <si>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</si>
  <si>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</si>
  <si>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</si>
  <si>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</si>
  <si>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</si>
  <si>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</si>
  <si>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</si>
  <si>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</si>
  <si>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</si>
  <si>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</si>
  <si>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</si>
  <si>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</si>
  <si>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</si>
  <si>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</si>
  <si>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</si>
  <si>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</si>
  <si>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</si>
  <si>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</si>
  <si>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</si>
  <si>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</si>
  <si>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</si>
  <si>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</si>
  <si>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</si>
  <si>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</si>
  <si>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</si>
  <si>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</si>
  <si>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</si>
  <si>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</si>
  <si>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</si>
  <si>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</si>
  <si>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</si>
  <si>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</si>
  <si>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</si>
  <si>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</si>
  <si>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</si>
  <si>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</si>
  <si>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</si>
  <si>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</si>
  <si>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</si>
  <si>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</si>
  <si>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</si>
  <si>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</si>
  <si>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</si>
  <si>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</si>
  <si>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</si>
  <si>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</si>
  <si>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</si>
  <si>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</si>
  <si>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</si>
  <si>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</si>
  <si>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</si>
  <si>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</si>
  <si>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</si>
  <si>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</si>
  <si>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</si>
  <si>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</si>
  <si>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</si>
  <si>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</si>
  <si>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</si>
  <si>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</si>
  <si>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</si>
  <si>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</si>
  <si>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</si>
  <si>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</si>
  <si>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</si>
  <si>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</si>
  <si>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</si>
  <si>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</si>
  <si>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</si>
  <si>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</si>
  <si>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</si>
  <si>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</si>
  <si>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</si>
  <si>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</si>
  <si>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</si>
  <si>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Delaget2</t>
  </si>
  <si>
    <t>CCR2</t>
  </si>
  <si>
    <t>HeroDevs2</t>
  </si>
  <si>
    <t>Smarty2</t>
  </si>
  <si>
    <t>Delaget3</t>
  </si>
  <si>
    <t>CCR3</t>
  </si>
  <si>
    <t>HeroDevs3</t>
  </si>
  <si>
    <t>Smarty3</t>
  </si>
  <si>
    <t>Delaget4</t>
  </si>
  <si>
    <t>CCR4</t>
  </si>
  <si>
    <t>HeroDevs4</t>
  </si>
  <si>
    <t>Smarty4</t>
  </si>
  <si>
    <t>Delaget5</t>
  </si>
  <si>
    <t>CCR5</t>
  </si>
  <si>
    <t>HeroDevs5</t>
  </si>
  <si>
    <t>Smarty5</t>
  </si>
  <si>
    <t>Delaget6</t>
  </si>
  <si>
    <t>CCR6</t>
  </si>
  <si>
    <t>HeroDevs6</t>
  </si>
  <si>
    <t>Smarty6</t>
  </si>
  <si>
    <t>Delaget7</t>
  </si>
  <si>
    <t>CCR7</t>
  </si>
  <si>
    <t>HeroDevs7</t>
  </si>
  <si>
    <t>Smarty7</t>
  </si>
  <si>
    <t>Delaget8</t>
  </si>
  <si>
    <t>CCR8</t>
  </si>
  <si>
    <t>HeroDevs8</t>
  </si>
  <si>
    <t>Smarty8</t>
  </si>
  <si>
    <t>Delaget9</t>
  </si>
  <si>
    <t>CCR9</t>
  </si>
  <si>
    <t>HeroDevs9</t>
  </si>
  <si>
    <t>Smarty9</t>
  </si>
  <si>
    <t>Delaget10</t>
  </si>
  <si>
    <t>CCR10</t>
  </si>
  <si>
    <t>HeroDevs10</t>
  </si>
  <si>
    <t>Smarty10</t>
  </si>
  <si>
    <t>Delaget11</t>
  </si>
  <si>
    <t>CCR11</t>
  </si>
  <si>
    <t>HeroDevs11</t>
  </si>
  <si>
    <t>Smarty11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</si>
</sst>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_);\(#,##0.0\)"/>
    <numFmt numFmtId="165" formatCode="[$-409]mmmm\ d\,\ yyyy;@"/>
    <numFmt numFmtId="166" formatCode="&quot;$&quot;#,##0"/>
    <numFmt numFmtId="167" formatCode="m/d/yy"/>
  </numFmts>
  <fonts count="36"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
      <sz val="12"/>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
      <patternFill patternType="solid">
        <fgColor rgb="FFD9D9D9"/>
        <bgColor rgb="FFD9D9D9"/>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theme="1"/>
      </top>
      <bottom style="thin">
        <color theme="1"/>
      </bottom>
      <diagonal/>
    </border>
    <border>
      <left/>
      <right/>
      <top style="thin">
        <color rgb="FF000000"/>
      </top>
      <bottom style="thin">
        <color rgb="FF000000"/>
      </bottom>
      <diagonal/>
    </border>
    <border>
      <left/>
      <right/>
      <top style="thin">
        <color theme="1"/>
      </top>
      <bottom/>
      <diagonal/>
    </border>
    <border>
      <left/>
      <right/>
      <top style="thin">
        <color rgb="FF000000"/>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43">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35" fillId="37" borderId="19" xfId="0" applyFont="1" applyFill="1" applyBorder="1"/>
    <xf numFmtId="0" fontId="35" fillId="0" borderId="19" xfId="0" applyFont="1" applyBorder="1"/>
    <xf numFmtId="0" fontId="0" fillId="0" borderId="18" xfId="0" applyBorder="1"/>
    <xf numFmtId="167" fontId="0" fillId="0" borderId="0" xfId="0" applyNumberFormat="1"/>
    <xf numFmtId="9" fontId="0" fillId="0" borderId="0" xfId="0" applyNumberFormat="1"/>
    <xf numFmtId="0" fontId="0" fillId="0" borderId="20" xfId="0" applyBorder="1"/>
    <xf numFmtId="0" fontId="35" fillId="0" borderId="21" xfId="0" applyFont="1" applyBorder="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54">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vertical/>
        <horizontal/>
      </border>
    </dxf>
    <dxf>
      <font>
        <color rgb="FF000000"/>
      </font>
      <fill>
        <patternFill patternType="none">
          <bgColor auto="1"/>
        </patternFill>
      </fill>
      <alignment horizontal="general" vertical="bottom" textRotation="0" wrapText="0" indent="0" justifyLastLine="0" shrinkToFit="0" readingOrder="0"/>
      <border diagonalUp="0" diagonalDown="0">
        <left/>
        <right/>
        <top style="thin">
          <color rgb="FF000000"/>
        </top>
        <bottom style="thin">
          <color rgb="FF000000"/>
        </bottom>
        <vertical/>
        <horizontal/>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dxf>
    <dxf>
      <numFmt numFmtId="19" formatCode="m/d/yyyy"/>
    </dxf>
    <dxf>
      <numFmt numFmtId="19" formatCode="m/d/yyyy"/>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17/10/relationships/person" Target="persons/person.xml"/><Relationship Id="rId5" Type="http://schemas.openxmlformats.org/officeDocument/2006/relationships/externalLink" Target="externalLinks/externalLink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3074" name="Button 2" descr="Run"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3075" name="Button 3" descr="Run"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xlsm" TargetMode="External"/><Relationship Id="rId1" Type="http://schemas.openxmlformats.org/officeDocument/2006/relationships/externalLinkPath" Target="MMM_Fives_Review_Leo_Test_49.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1).xlsm" TargetMode="External"/><Relationship Id="rId1" Type="http://schemas.openxmlformats.org/officeDocument/2006/relationships/externalLinkPath" Target="MMM_Fives_Review_Leo_Test_4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marty"/>
      <sheetName val="HeroDevs"/>
      <sheetName val="CCR"/>
      <sheetName val="Delaget"/>
      <sheetName val="Main"/>
      <sheetName val="Data"/>
      <sheetName val="MMM_Fives_Review_Leo_Test_49"/>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Data"/>
      <sheetName val="MMM_Fives_Review_Leo_Test_49(1)"/>
    </sheetNames>
    <sheetDataSet>
      <sheetData sheetId="0" refreshError="1"/>
      <sheetData sheetId="1"/>
      <sheetData sheetId="2"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098EAB-1608-4A78-9FEE-F82D7F2CF47E}" name="Fives38" displayName="Fives38" ref="A1:AL5" totalsRowShown="0" dataDxfId="53">
  <autoFilter ref="A1:AL5" xr:uid="{00000000-0009-0000-0100-000001000000}"/>
  <sortState xmlns:xlrd2="http://schemas.microsoft.com/office/spreadsheetml/2017/richdata2" ref="A2:AL2">
    <sortCondition descending="1" ref="AK2"/>
    <sortCondition ref="AL2"/>
    <sortCondition ref="H2"/>
  </sortState>
  <tableColumns count="38">
    <tableColumn id="1" xr3:uid="{32684F44-3E77-4533-BE7B-DA5AF21C1A4B}" name="Company ID (18 Char)"/>
    <tableColumn id="2" xr3:uid="{C7ECD620-9C78-476B-84FC-E3BE1D8359FD}" name="FivesCreated ID (18)"/>
    <tableColumn id="3" xr3:uid="{B85E8436-5498-4F5A-9A58-3E36BA1B228A}" name="Five Created Name"/>
    <tableColumn id="4" xr3:uid="{B31EA5EE-442B-479D-BEF5-DFF77848800F}" name="Company Name"/>
    <tableColumn id="35" xr3:uid="{EA47CF6E-998F-452E-B077-16525D02D695}" name="Company Owner"/>
    <tableColumn id="33" xr3:uid="{36E83C74-A2A4-4F3E-AA6B-D18602A51D37}" name="Team"/>
    <tableColumn id="5" xr3:uid="{C29554ED-03E7-4BC6-B26A-DC97155D84ED}" name="Upgraded By"/>
    <tableColumn id="6" xr3:uid="{5C58AC0E-4EFD-43BC-8FA4-184E3E65FE93}" name="Edit Date" dataDxfId="52"/>
    <tableColumn id="7" xr3:uid="{F1E2BB65-20BB-45F1-A4E9-5F48F5CD8217}" name="Old Value"/>
    <tableColumn id="8" xr3:uid="{61351C3A-D92A-41C5-9DA3-BF863BA898F9}" name="New Value"/>
    <tableColumn id="9" xr3:uid="{8157C7EA-A871-428B-A160-588D521FFA2D}" name="Gene Accepted"/>
    <tableColumn id="10" xr3:uid="{E25D4EE3-3099-4BA3-BD63-E76AD5D58026}" name="Assign Senior: Full Name"/>
    <tableColumn id="11" xr3:uid="{719F7498-98BB-4101-BB49-55BA8158D681}" name="Gene's Comments"/>
    <tableColumn id="12" xr3:uid="{17E038CA-C889-4E88-BEC6-2BB9D14B41E0}" name="Current Prospect Status"/>
    <tableColumn id="13" xr3:uid="{F07089AF-0448-470B-9BE1-97D9EB57C6E7}" name="Prospect Source"/>
    <tableColumn id="14" xr3:uid="{E8EFA0E8-7A55-46C3-A805-0E92F7353FBC}" name="Split Credit"/>
    <tableColumn id="15" xr3:uid="{174202D6-BEFC-4116-B3A4-A595A5615300}" name="Exclude Commissions"/>
    <tableColumn id="16" xr3:uid="{4E4788A3-C115-4F55-8C8F-8F29F7F9457A}" name="Last Meaningful Interaction Date" dataDxfId="51"/>
    <tableColumn id="17" xr3:uid="{4BE8F603-8DB0-4EDF-B813-33C5541A3542}" name="Last Meaningful Interaction"/>
    <tableColumn id="18" xr3:uid="{66F87E66-F53F-4523-858A-64E179F5F01D}" name="Last Activity" dataDxfId="50"/>
    <tableColumn id="19" xr3:uid="{CD07D4E6-7B60-4662-9E7E-B94072F6312B}" name="Scale Notes"/>
    <tableColumn id="20" xr3:uid="{93F3275E-35FB-42E3-8721-700D9DF6E41C}" name="Growth Notes"/>
    <tableColumn id="21" xr3:uid="{40E9B19B-A81E-4E84-A2BC-D9F22363D6B4}" name="Profitability Notes"/>
    <tableColumn id="22" xr3:uid="{C9AE0A2A-C6A0-4BB5-BCD9-88AA67A73F6F}" name="Revenue Model Notes"/>
    <tableColumn id="23" xr3:uid="{70B4D02E-F5CF-441E-92F6-E6271546350D}" name="Ownership Dynamic Notes"/>
    <tableColumn id="24" xr3:uid="{EEC56DD2-8648-4A5E-A79D-6FAA506693B6}" name="Concentrations Notes"/>
    <tableColumn id="25" xr3:uid="{9151C3E9-D771-4FB0-8B4F-540B8B2F411E}" name="Capital Structure Notes"/>
    <tableColumn id="26" xr3:uid="{C97F6439-968D-424F-9F06-06379351210D}" name="Invested Capital ($)" dataDxfId="49"/>
    <tableColumn id="27" xr3:uid="{3EC9F9F3-6D36-41D9-93E1-3E50FC55C336}" name="Description" dataDxfId="48"/>
    <tableColumn id="28" xr3:uid="{98798E63-F069-4012-812C-7008447BE7CE}" name="Employees (SS)" dataDxfId="47"/>
    <tableColumn id="29" xr3:uid="{27ADC75D-465F-47C0-8DF9-30B594B66115}" name="Latest Raised (SS)" dataDxfId="46"/>
    <tableColumn id="30" xr3:uid="{0D708130-F07A-4C30-83A1-64F40A179C93}" name="Latest Raised Date (SS)" dataDxfId="45"/>
    <tableColumn id="31" xr3:uid="{4197C3CA-B8EC-4A82-B89D-7D0686CAC16E}" name="Total Raised (SS)" dataDxfId="44"/>
    <tableColumn id="32" xr3:uid="{C517725F-7184-4591-95BA-0BD83B1C994B}" name="Ownership (SS)" dataDxfId="43"/>
    <tableColumn id="34" xr3:uid="{DE401D7F-AD95-445D-B946-8923C7E27E9B}" name="Website" dataDxfId="42"/>
    <tableColumn id="38" xr3:uid="{916D9970-65AD-4FCD-A3A5-0B396930BE40}" name="HQ" dataDxfId="41"/>
    <tableColumn id="36" xr3:uid="{C4A625B9-3B05-4F8D-836D-5553537B513D}" name="Count by Upgraded" dataDxfId="40">
      <calculatedColumnFormula>COUNTIF(#REF!,#REF!)</calculatedColumnFormula>
    </tableColumn>
    <tableColumn id="37" xr3:uid="{B6ACE3CA-6A1E-4F76-80E3-B6F2ADE906F1}" name="Upgraded by Combined" dataDxfId="3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23EA61-DE57-47E9-A635-EE8F24C77775}" name="Fives3" displayName="Fives3" ref="A1:AL45" totalsRowShown="0" dataDxfId="38">
  <autoFilter ref="A1:AL45" xr:uid="{00000000-0009-0000-0100-000001000000}"/>
  <sortState xmlns:xlrd2="http://schemas.microsoft.com/office/spreadsheetml/2017/richdata2" ref="A2:AL5">
    <sortCondition descending="1" ref="AK2:AK5"/>
    <sortCondition ref="AL2:AL5"/>
    <sortCondition ref="H2:H5"/>
  </sortState>
  <tableColumns count="38">
    <tableColumn id="1" xr3:uid="{D6F9C665-3814-42BF-B9DD-4CA500E9D234}" name="Company ID (18 Char)" dataDxfId="37"/>
    <tableColumn id="2" xr3:uid="{AFA7D6F9-8872-4C12-8802-F6C9E8FECF45}" name="FivesCreated ID (18)" dataDxfId="36"/>
    <tableColumn id="3" xr3:uid="{7FDA3F13-F6D8-4961-88CF-2BD679340D43}" name="Five Created Name" dataDxfId="35"/>
    <tableColumn id="4" xr3:uid="{1F3A62A3-5098-4B65-A895-92CF3CBFEBAC}" name="Company Name" dataDxfId="34"/>
    <tableColumn id="35" xr3:uid="{14A447B1-F5B1-417D-93B5-16DC6D61F338}" name="Company Owner" dataDxfId="33"/>
    <tableColumn id="33" xr3:uid="{B091F1A0-0EC3-426F-8271-A472E4900ACB}" name="Team" dataDxfId="32"/>
    <tableColumn id="5" xr3:uid="{75433894-729D-4070-BAE5-F92C081544C0}" name="Upgraded By" dataDxfId="31"/>
    <tableColumn id="6" xr3:uid="{BE72EF00-A6A6-47DF-9632-3E4A8252C161}" name="Edit Date" dataDxfId="30"/>
    <tableColumn id="7" xr3:uid="{0B071AA3-166F-4387-95E5-808950B3899D}" name="Old Value" dataDxfId="29"/>
    <tableColumn id="8" xr3:uid="{E15EC495-29F5-4F0D-AFF1-60C88B5557F4}" name="New Value" dataDxfId="28"/>
    <tableColumn id="9" xr3:uid="{F14F1E37-D9A3-4DBC-90C6-8E07BBCD9425}" name="Gene Accepted" dataDxfId="27"/>
    <tableColumn id="10" xr3:uid="{1B9F7BF9-3461-4C94-89C1-4F74771ECF9A}" name="Assign Senior: Full Name" dataDxfId="26"/>
    <tableColumn id="11" xr3:uid="{E3ECA368-ABF5-4AF4-9CCD-12488C46345D}" name="Gene's Comments" dataDxfId="25"/>
    <tableColumn id="12" xr3:uid="{2297C62A-9868-4F5E-8BE7-3A2F45DCCB9B}" name="Current Prospect Status" dataDxfId="24"/>
    <tableColumn id="13" xr3:uid="{896AF12A-C6EB-410A-B0F0-866EBAAAC97C}" name="Prospect Source" dataDxfId="23"/>
    <tableColumn id="14" xr3:uid="{B94BEB51-930F-4117-9D7E-2E82D48BA882}" name="Split Credit" dataDxfId="22"/>
    <tableColumn id="15" xr3:uid="{6F48538A-2999-41D5-9ADD-373A5AC472D6}" name="Exclude Commissions" dataDxfId="21"/>
    <tableColumn id="16" xr3:uid="{F76DE1C3-5C69-4A10-8D08-B5F7CE24376B}" name="Last Meaningful Interaction Date" dataDxfId="20"/>
    <tableColumn id="17" xr3:uid="{E7555612-C0E0-4A41-9C0D-E18AB583C4C1}" name="Last Meaningful Interaction" dataDxfId="19"/>
    <tableColumn id="18" xr3:uid="{7DBC01C0-53C1-45FA-BA45-DF112605048A}" name="Last Activity" dataDxfId="18"/>
    <tableColumn id="19" xr3:uid="{C1D52713-32F3-4F2C-802D-0D49A477B1E5}" name="Scale Notes" dataDxfId="17"/>
    <tableColumn id="20" xr3:uid="{2212D554-02BE-4508-A7DB-42AF446463AD}" name="Growth Notes" dataDxfId="16"/>
    <tableColumn id="21" xr3:uid="{AFA3C8A9-6A3D-43E7-9BAF-004237F0EA82}" name="Profitability Notes" dataDxfId="15"/>
    <tableColumn id="22" xr3:uid="{8FC5A889-24D5-44CB-8E84-63A442CA8C0E}" name="Revenue Model Notes" dataDxfId="14"/>
    <tableColumn id="23" xr3:uid="{660BF04D-3F6F-4AAC-A233-CF977B05B24F}" name="Ownership Dynamic Notes" dataDxfId="13"/>
    <tableColumn id="24" xr3:uid="{5D353C3B-B125-45A8-9094-26E65F6BAB18}" name="Concentrations Notes" dataDxfId="12"/>
    <tableColumn id="25" xr3:uid="{36006DCC-A680-4AD9-A3CB-6924A5B42A81}" name="Capital Structure Notes" dataDxfId="11"/>
    <tableColumn id="26" xr3:uid="{01E01EF7-A8F5-47E8-9FFD-6FF74A4E0472}" name="Invested Capital ($)" dataDxfId="10"/>
    <tableColumn id="27" xr3:uid="{D8771CF7-E281-484C-9B6D-EE76B40631E5}" name="Description" dataDxfId="9"/>
    <tableColumn id="28" xr3:uid="{A6A90D50-A1D5-410A-9DFE-5E8DF6EF5DF4}" name="Employees (SS)" dataDxfId="8"/>
    <tableColumn id="29" xr3:uid="{336E435A-BE6E-4A2E-A7CF-40C7DF6820C2}" name="Latest Raised (SS)" dataDxfId="7"/>
    <tableColumn id="30" xr3:uid="{EB3E9146-F445-4E79-AEE2-1CA37694F506}" name="Latest Raised Date (SS)" dataDxfId="6"/>
    <tableColumn id="31" xr3:uid="{124BAA95-388C-4BC0-A81D-EEB0D68A8BDB}" name="Total Raised (SS)" dataDxfId="5"/>
    <tableColumn id="32" xr3:uid="{C5F8A31A-0E57-4D93-A3A3-6CF5FE7E8D2D}" name="Ownership (SS)" dataDxfId="4"/>
    <tableColumn id="34" xr3:uid="{37014B05-E123-426C-BB99-25AA5E2B298B}" name="Website" dataDxfId="3"/>
    <tableColumn id="38" xr3:uid="{2D8FA09E-5CBC-4C9A-93DA-3AC39317E7C4}" name="HQ" dataDxfId="2"/>
    <tableColumn id="36" xr3:uid="{D818F1BF-334D-4499-9099-65207C68AF69}" name="Count by Upgraded" dataDxfId="1">
      <calculatedColumnFormula>COUNTIF(#REF!,#REF!)</calculatedColumnFormula>
    </tableColumn>
    <tableColumn id="37" xr3:uid="{CC9979B7-42AD-42D6-ADB6-6DE2FBC516FF}" name="Upgraded by Combined" dataDxfId="0">
      <calculatedColumnFormula>IF(#REF!="",#REF!,IF(ISNUMBER(FIND([2]!Fives[[#This Row],[Upgraded By]],[2]!Fives[[#This Row],[Split Credit]])),[2]!Fives[[#This Row],[Split Credit]],[2]!Fives[[#This Row],[Upgraded By]]&amp;"; "&amp;[2]!Fives[[#This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zoomScaleNormal="100" workbookViewId="0">
      <selection activeCell="G15" sqref="G15"/>
    </sheetView>
  </sheetViews>
  <sheetFormatPr defaultColWidth="7.6875" defaultRowHeight="11.65" x14ac:dyDescent="0.35"/>
  <cols>
    <col min="1" max="1" width="5.1875" style="1" customWidth="1"/>
    <col min="2" max="2" width="5" style="6" customWidth="1"/>
    <col min="3" max="3" width="38" style="1" customWidth="1"/>
    <col min="4" max="4" width="56.6875" style="1" customWidth="1"/>
    <col min="5" max="5" width="5.3125" style="1" customWidth="1"/>
    <col min="6" max="6" width="5" style="1" customWidth="1"/>
    <col min="7" max="7" width="45" style="1" customWidth="1"/>
    <col min="8" max="8" width="39.3125" style="1" customWidth="1"/>
    <col min="9" max="16384" width="7.6875" style="1"/>
  </cols>
  <sheetData>
    <row r="1" spans="2:8" ht="30" customHeight="1" x14ac:dyDescent="0.35"/>
    <row r="6" spans="2:8" ht="36" customHeight="1" x14ac:dyDescent="0.35"/>
    <row r="7" spans="2:8" ht="13.05" customHeight="1" x14ac:dyDescent="0.35"/>
    <row r="8" spans="2:8" ht="35.25" x14ac:dyDescent="0.95">
      <c r="B8" s="11" t="s">
        <v>54</v>
      </c>
    </row>
    <row r="9" spans="2:8" ht="24.75" x14ac:dyDescent="0.35">
      <c r="B9" s="30" t="str">
        <f ca="1">"Week of "&amp;TEXT(TODAY(),"M/D/YYYY")</f>
        <v>Week of 4/19/2024</v>
      </c>
    </row>
    <row r="10" spans="2:8" ht="21" x14ac:dyDescent="0.65">
      <c r="B10" s="12"/>
      <c r="C10" s="13"/>
      <c r="D10" s="13"/>
    </row>
    <row r="11" spans="2:8" ht="15.75" x14ac:dyDescent="0.5">
      <c r="B11" s="5"/>
      <c r="C11"/>
    </row>
    <row r="12" spans="2:8" ht="21" x14ac:dyDescent="0.65">
      <c r="B12" s="24" t="s">
        <v>48</v>
      </c>
      <c r="C12" s="25" t="s">
        <v>3</v>
      </c>
      <c r="D12" s="26" t="s">
        <v>35</v>
      </c>
      <c r="F12" s="24" t="s">
        <v>48</v>
      </c>
      <c r="G12" s="25" t="s">
        <v>3</v>
      </c>
      <c r="H12" s="26" t="s">
        <v>35</v>
      </c>
    </row>
    <row r="13" spans="2:8" ht="21" x14ac:dyDescent="0.65">
      <c r="B13" s="12"/>
      <c r="C13" s="13"/>
      <c r="D13" s="13"/>
      <c r="F13" s="12"/>
      <c r="G13" s="13"/>
      <c r="H13" s="13"/>
    </row>
    <row r="14" spans="2:8" ht="21" x14ac:dyDescent="0.65">
      <c r="B14" s="12"/>
      <c r="C14" s="13"/>
      <c r="D14" s="13"/>
      <c r="F14" s="12"/>
      <c r="G14" s="13"/>
      <c r="H14" s="13"/>
    </row>
    <row r="15" spans="2:8" ht="21" x14ac:dyDescent="0.65">
      <c r="B15" s="12"/>
      <c r="C15" s="13"/>
      <c r="D15" s="13"/>
      <c r="F15" s="12"/>
      <c r="G15" s="13"/>
      <c r="H15" s="13"/>
    </row>
    <row r="16" spans="2:8" ht="21" x14ac:dyDescent="0.65">
      <c r="B16" s="12"/>
      <c r="C16" s="13"/>
      <c r="D16" s="13"/>
      <c r="F16" s="12"/>
      <c r="G16" s="13"/>
      <c r="H16" s="13"/>
    </row>
    <row r="17" spans="2:8" ht="21" x14ac:dyDescent="0.65">
      <c r="B17" s="12"/>
      <c r="C17" s="13"/>
      <c r="D17" s="13"/>
      <c r="F17" s="12"/>
      <c r="G17" s="13"/>
      <c r="H17" s="13"/>
    </row>
    <row r="18" spans="2:8" ht="21" x14ac:dyDescent="0.65">
      <c r="B18" s="12"/>
      <c r="C18" s="13"/>
      <c r="D18" s="13"/>
      <c r="F18" s="12"/>
      <c r="G18" s="13"/>
      <c r="H18" s="13"/>
    </row>
    <row r="19" spans="2:8" ht="21" x14ac:dyDescent="0.65">
      <c r="B19" s="12"/>
      <c r="C19" s="13"/>
      <c r="D19" s="13"/>
      <c r="F19" s="12"/>
      <c r="G19" s="13"/>
      <c r="H19" s="13"/>
    </row>
    <row r="20" spans="2:8" ht="21" x14ac:dyDescent="0.65">
      <c r="B20" s="12"/>
      <c r="C20" s="13"/>
      <c r="D20" s="13"/>
      <c r="F20" s="12"/>
      <c r="G20" s="13"/>
      <c r="H20" s="13"/>
    </row>
    <row r="21" spans="2:8" ht="21" x14ac:dyDescent="0.65">
      <c r="B21" s="12"/>
      <c r="C21" s="13"/>
      <c r="D21" s="13"/>
      <c r="F21" s="12"/>
      <c r="G21" s="13"/>
      <c r="H21" s="13"/>
    </row>
    <row r="22" spans="2:8" ht="21" x14ac:dyDescent="0.65">
      <c r="B22" s="12"/>
      <c r="C22" s="13"/>
      <c r="D22" s="13"/>
      <c r="F22" s="12"/>
      <c r="G22" s="13"/>
      <c r="H22" s="13"/>
    </row>
    <row r="23" spans="2:8" ht="21" x14ac:dyDescent="0.65">
      <c r="B23" s="12"/>
      <c r="C23" s="13"/>
      <c r="D23" s="13"/>
      <c r="F23" s="12"/>
      <c r="G23" s="13"/>
      <c r="H23" s="13"/>
    </row>
    <row r="24" spans="2:8" ht="21" x14ac:dyDescent="0.65">
      <c r="B24" s="12"/>
      <c r="C24" s="13"/>
      <c r="D24" s="13"/>
      <c r="F24" s="12"/>
      <c r="G24" s="13"/>
      <c r="H24" s="13"/>
    </row>
    <row r="25" spans="2:8" ht="21" x14ac:dyDescent="0.65">
      <c r="B25" s="12"/>
      <c r="C25" s="13"/>
      <c r="D25" s="13"/>
    </row>
    <row r="26" spans="2:8" ht="21" x14ac:dyDescent="0.65">
      <c r="B26" s="12"/>
      <c r="C26" s="13"/>
      <c r="D26" s="13"/>
    </row>
    <row r="27" spans="2:8" ht="21" x14ac:dyDescent="0.65">
      <c r="B27" s="12"/>
      <c r="C27" s="13"/>
      <c r="D27" s="13"/>
    </row>
    <row r="28" spans="2:8" ht="21" x14ac:dyDescent="0.65">
      <c r="B28" s="12"/>
      <c r="C28" s="13"/>
      <c r="D28" s="13"/>
    </row>
    <row r="29" spans="2:8" ht="21" x14ac:dyDescent="0.65">
      <c r="B29" s="12"/>
    </row>
    <row r="30" spans="2:8" ht="21" x14ac:dyDescent="0.65">
      <c r="B30" s="12"/>
    </row>
    <row r="31" spans="2:8" ht="22.05" customHeight="1" x14ac:dyDescent="0.55000000000000004">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tabSelected="1" zoomScale="63" zoomScaleNormal="100" workbookViewId="0">
      <selection activeCell="G26" sqref="G26"/>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e" cm="1">
        <f t="array" ref="C2">INDEX([1]!Fives[#Data],$J$1,4)</f>
        <v>#REF!</v>
      </c>
      <c r="M2" s="3"/>
      <c r="N2" s="3"/>
    </row>
    <row r="3" spans="3:700" ht="26.25" x14ac:dyDescent="0.7">
      <c r="C3" s="14" t="e" cm="1">
        <f t="array" ref="C3">"Upgraded by "&amp;INDEX([1]!Fives[Upgraded by Combined],$J$1,1)</f>
        <v>#REF!</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e" cm="1">
        <f t="array" ref="C7">IF(INDEX([1]!Fives[#Data],$J$1,29)=0,"",INDEX([1]!Fives[#Data],$J$1,29))</f>
        <v>#REF!</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e" cm="1">
        <f t="array" ref="D11">IF(INDEX([1]!Fives[#Data],$J$1,21)=0,"",INDEX([1]!Fives[#Data],$J$1,21))</f>
        <v>#REF!</v>
      </c>
      <c r="E11" s="17"/>
      <c r="F11" s="15" t="s">
        <v>20</v>
      </c>
      <c r="G11" s="16" t="e" cm="1">
        <f t="array" ref="G11">IF(INDEX([1]!Fives[#Data],$J$1,24)=0,"",INDEX([1]!Fives[#Data],$J$1,24))</f>
        <v>#REF!</v>
      </c>
      <c r="M11" s="3"/>
      <c r="N11" s="3"/>
    </row>
    <row r="12" spans="3:700" ht="18.75" x14ac:dyDescent="0.4">
      <c r="C12" s="15" t="s">
        <v>18</v>
      </c>
      <c r="D12" s="21" t="e" cm="1">
        <f t="array" ref="D12">IF(INDEX([1]!Fives[#Data],$J$1,22)=0,"",INDEX([1]!Fives[#Data],$J$1,22))</f>
        <v>#REF!</v>
      </c>
      <c r="E12" s="17"/>
      <c r="F12" s="15" t="s">
        <v>21</v>
      </c>
      <c r="G12" s="16" t="e" cm="1">
        <f t="array" ref="G12">IF(INDEX([1]!Fives[#Data],$J$1,25)=0,"",INDEX([1]!Fives[#Data],$J$1,25))</f>
        <v>#REF!</v>
      </c>
      <c r="M12" s="3"/>
      <c r="N12" s="3"/>
    </row>
    <row r="13" spans="3:700" ht="18.75" x14ac:dyDescent="0.4">
      <c r="C13" s="15" t="s">
        <v>19</v>
      </c>
      <c r="D13" s="22" t="e" cm="1">
        <f t="array" ref="D13">IF(INDEX([1]!Fives[#Data],$J$1,23)=0,"",INDEX([1]!Fives[#Data],$J$1,23))</f>
        <v>#REF!</v>
      </c>
      <c r="E13" s="17"/>
      <c r="F13" s="15" t="s">
        <v>22</v>
      </c>
      <c r="G13" s="16" t="e" cm="1">
        <f t="array" ref="G13">IF(INDEX([1]!Fives[#Data],$J$1,26)=0,"",INDEX([1]!Fives[#Data],$J$1,26))</f>
        <v>#REF!</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e" cm="1">
        <f t="array" ref="D17">IF(INDEX([1]!Fives[#Data],$J$1,6)="",INDEX([1]!Fives[#Data],$J$1,5),IF(ISNUMBER(FIND(INDEX([1]!Fives[#Data],$J$1,5),INDEX([1]!Fives[#Data],$J$1,6))),INDEX([1]!Fives[#Data],$J$1,6),INDEX([1]!Fives[#Data],$J$1,5)&amp;"; "&amp;INDEX([1]!Fives[#Data],$J$1,6)))</f>
        <v>#REF!</v>
      </c>
      <c r="E17" s="17"/>
      <c r="F17" s="15" t="s">
        <v>42</v>
      </c>
      <c r="G17" s="16" t="e" cm="1">
        <f t="array" ref="G17">IF(INDEX([1]!Fives[#Data],$J$1,30)=0,"",INDEX([1]!Fives[#Data],$J$1,30))</f>
        <v>#REF!</v>
      </c>
      <c r="M17" s="3"/>
      <c r="N17" s="3"/>
    </row>
    <row r="18" spans="3:14" ht="18.75" x14ac:dyDescent="0.4">
      <c r="C18" s="15" t="s">
        <v>11</v>
      </c>
      <c r="D18" s="16" t="e" cm="1">
        <f t="array" ref="D18">IF(INDEX([1]!Fives[#Data],$J$1,15)=0,"",INDEX([1]!Fives[#Data],$J$1,15))</f>
        <v>#REF!</v>
      </c>
      <c r="E18" s="17"/>
      <c r="F18" s="15" t="s">
        <v>39</v>
      </c>
      <c r="G18" s="18" t="e" cm="1">
        <f t="array" ref="G18">IF(INDEX([1]!Fives[#Data],$J$1,32)=0,"",INDEX([1]!Fives[#Data],$J$1,32))</f>
        <v>#REF!</v>
      </c>
      <c r="M18" s="3"/>
      <c r="N18" s="3"/>
    </row>
    <row r="19" spans="3:14" ht="18.75" x14ac:dyDescent="0.4">
      <c r="C19" s="15" t="s">
        <v>12</v>
      </c>
      <c r="D19" s="16" t="e" cm="1">
        <f t="array" ref="D19">IF(INDEX([1]!Fives[#Data],$J$1,16)=0,"",INDEX([1]!Fives[#Data],$J$1,16))</f>
        <v>#REF!</v>
      </c>
      <c r="E19" s="17"/>
      <c r="F19" s="15" t="s">
        <v>40</v>
      </c>
      <c r="G19" s="27" t="e" cm="1">
        <f t="array" ref="G19">IF(INDEX([1]!Fives[#Data],$J$1,31)=0,"",INDEX([1]!Fives[#Data],$J$1,31))</f>
        <v>#REF!</v>
      </c>
      <c r="M19" s="3"/>
      <c r="N19" s="3"/>
    </row>
    <row r="20" spans="3:14" ht="18.75" x14ac:dyDescent="0.4">
      <c r="C20" s="15" t="s">
        <v>38</v>
      </c>
      <c r="D20" s="16" t="e" cm="1">
        <f t="array" ref="D20">IF(INDEX([1]!Fives[#Data],$J$1,35)=0,"",INDEX([1]!Fives[#Data],$J$1,35))</f>
        <v>#REF!</v>
      </c>
      <c r="E20" s="17"/>
      <c r="F20" s="15" t="s">
        <v>41</v>
      </c>
      <c r="G20" s="27" t="e" cm="1">
        <f t="array" ref="G20">IF(INDEX([1]!Fives[#Data],$J$1,33)=0,"",INDEX([1]!Fives[#Data],$J$1,33))</f>
        <v>#REF!</v>
      </c>
      <c r="M20" s="3"/>
      <c r="N20" s="3"/>
    </row>
    <row r="21" spans="3:14" ht="18.75" x14ac:dyDescent="0.5">
      <c r="C21" s="29" t="s">
        <v>52</v>
      </c>
      <c r="D21" s="28" t="e" cm="1">
        <f t="array" ref="D21">IF(INDEX([1]!Fives[#Data],$J$1,36)=0,"",INDEX([1]!Fives[#Data],$J$1,36))</f>
        <v>#REF!</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3075" r:id="rId4" name="Button 3">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81186-D744-46FE-A986-980A11B99686}">
  <sheetPr codeName="Sheet6"/>
  <dimension ref="A1:AL5"/>
  <sheetViews>
    <sheetView zoomScaleNormal="100" workbookViewId="0">
      <pane ySplit="1" topLeftCell="A2" activePane="bottomLeft" state="frozen"/>
      <selection activeCell="AJ3" sqref="AJ3"/>
      <selection pane="bottomLeft" activeCell="A5" sqref="A5"/>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C83C-EC70-45A0-8D86-C5D89F8C9CEB}">
  <sheetPr codeName="Sheet5"/>
  <dimension ref="A1:AL45"/>
  <sheetViews>
    <sheetView topLeftCell="AG1" zoomScaleNormal="100" workbookViewId="0">
      <pane ySplit="1" topLeftCell="A2" activePane="bottomLeft" state="frozen"/>
      <selection activeCell="AJ3" sqref="AJ3"/>
      <selection pane="bottomLeft" activeCell="A2" sqref="A2:AL5"/>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row r="6" spans="1:38" x14ac:dyDescent="0.5">
      <c r="A6" t="s">
        <v>60</v>
      </c>
      <c r="B6" t="s">
        <v>61</v>
      </c>
      <c r="C6" t="s">
        <v>62</v>
      </c>
      <c r="D6" s="33" t="s">
        <v>113</v>
      </c>
      <c r="E6" s="35" t="s">
        <v>64</v>
      </c>
      <c r="G6" t="s">
        <v>64</v>
      </c>
      <c r="H6" s="36">
        <v>45348</v>
      </c>
      <c r="I6" t="s">
        <v>55</v>
      </c>
      <c r="J6" t="s">
        <v>31</v>
      </c>
      <c r="K6" t="s">
        <v>32</v>
      </c>
      <c r="N6" t="s">
        <v>31</v>
      </c>
      <c r="O6" t="s">
        <v>33</v>
      </c>
      <c r="Q6">
        <v>0</v>
      </c>
      <c r="R6" s="36">
        <v>45348</v>
      </c>
      <c r="S6" t="s">
        <v>65</v>
      </c>
      <c r="T6" s="36">
        <v>45348</v>
      </c>
      <c r="U6" t="s">
        <v>66</v>
      </c>
      <c r="V6" s="37" t="s">
        <v>67</v>
      </c>
      <c r="W6" t="s">
        <v>68</v>
      </c>
      <c r="X6" t="s">
        <v>69</v>
      </c>
      <c r="Y6" t="s">
        <v>70</v>
      </c>
      <c r="Z6" t="s">
        <v>71</v>
      </c>
      <c r="AA6" t="s">
        <v>72</v>
      </c>
      <c r="AC6" t="s">
        <v>73</v>
      </c>
      <c r="AD6">
        <v>93</v>
      </c>
      <c r="AE6">
        <v>0</v>
      </c>
      <c r="AF6" s="36">
        <v>44593</v>
      </c>
      <c r="AG6">
        <v>400000</v>
      </c>
      <c r="AH6" t="s">
        <v>57</v>
      </c>
      <c r="AI6" t="s">
        <v>74</v>
      </c>
      <c r="AJ6" t="s">
        <v>51</v>
      </c>
      <c r="AK6" t="e">
        <f>COUNTIF(#REF!,#REF!)</f>
        <v>#REF!</v>
      </c>
      <c r="AL6" t="e">
        <f>IF(#REF!="",#REF!,IF(ISNUMBER(FIND([2]!Fives[[#This Row],[Upgraded By]],[2]!Fives[[#This Row],[Split Credit]])),[2]!Fives[[#This Row],[Split Credit]],[2]!Fives[[#This Row],[Upgraded By]]&amp;"; "&amp;[2]!Fives[[#This Row],[Split Credit]]))</f>
        <v>#REF!</v>
      </c>
    </row>
    <row r="7" spans="1:38" x14ac:dyDescent="0.5">
      <c r="A7" t="s">
        <v>75</v>
      </c>
      <c r="B7" t="s">
        <v>76</v>
      </c>
      <c r="C7" t="s">
        <v>77</v>
      </c>
      <c r="D7" s="34" t="s">
        <v>114</v>
      </c>
      <c r="E7" s="35" t="s">
        <v>79</v>
      </c>
      <c r="G7" t="s">
        <v>64</v>
      </c>
      <c r="H7" s="36">
        <v>45350</v>
      </c>
      <c r="I7" t="s">
        <v>49</v>
      </c>
      <c r="J7" t="s">
        <v>31</v>
      </c>
      <c r="K7" t="s">
        <v>32</v>
      </c>
      <c r="N7" t="s">
        <v>31</v>
      </c>
      <c r="O7" t="s">
        <v>33</v>
      </c>
      <c r="Q7">
        <v>0</v>
      </c>
      <c r="R7" s="36">
        <v>45350</v>
      </c>
      <c r="S7" t="s">
        <v>80</v>
      </c>
      <c r="T7" s="36">
        <v>45350</v>
      </c>
      <c r="U7" t="s">
        <v>81</v>
      </c>
      <c r="V7" s="37" t="s">
        <v>82</v>
      </c>
      <c r="W7" t="s">
        <v>83</v>
      </c>
      <c r="X7" t="s">
        <v>84</v>
      </c>
      <c r="Y7" t="s">
        <v>85</v>
      </c>
      <c r="Z7" t="s">
        <v>86</v>
      </c>
      <c r="AC7" t="s">
        <v>87</v>
      </c>
      <c r="AD7">
        <v>109</v>
      </c>
      <c r="AF7" s="36"/>
      <c r="AH7" t="s">
        <v>34</v>
      </c>
      <c r="AI7" t="s">
        <v>88</v>
      </c>
      <c r="AJ7" t="s">
        <v>51</v>
      </c>
      <c r="AK7" t="e">
        <f>COUNTIF(#REF!,#REF!)</f>
        <v>#REF!</v>
      </c>
      <c r="AL7" t="e">
        <f>IF(#REF!="",#REF!,IF(ISNUMBER(FIND([2]!Fives[[#This Row],[Upgraded By]],[2]!Fives[[#This Row],[Split Credit]])),[2]!Fives[[#This Row],[Split Credit]],[2]!Fives[[#This Row],[Upgraded By]]&amp;"; "&amp;[2]!Fives[[#This Row],[Split Credit]]))</f>
        <v>#REF!</v>
      </c>
    </row>
    <row r="8" spans="1:38" x14ac:dyDescent="0.5">
      <c r="A8" t="s">
        <v>89</v>
      </c>
      <c r="B8" t="s">
        <v>90</v>
      </c>
      <c r="C8" t="s">
        <v>91</v>
      </c>
      <c r="D8" s="33" t="s">
        <v>115</v>
      </c>
      <c r="E8" s="35" t="s">
        <v>64</v>
      </c>
      <c r="G8" t="s">
        <v>64</v>
      </c>
      <c r="H8" s="36">
        <v>45354</v>
      </c>
      <c r="I8" t="s">
        <v>49</v>
      </c>
      <c r="J8" t="s">
        <v>31</v>
      </c>
      <c r="K8" t="s">
        <v>32</v>
      </c>
      <c r="N8" t="s">
        <v>31</v>
      </c>
      <c r="O8" t="s">
        <v>33</v>
      </c>
      <c r="Q8">
        <v>0</v>
      </c>
      <c r="R8" s="36">
        <v>45352</v>
      </c>
      <c r="S8" t="s">
        <v>93</v>
      </c>
      <c r="T8" s="36">
        <v>45352</v>
      </c>
      <c r="U8" t="s">
        <v>94</v>
      </c>
      <c r="V8" s="37" t="s">
        <v>95</v>
      </c>
      <c r="W8" t="s">
        <v>96</v>
      </c>
      <c r="X8" t="s">
        <v>97</v>
      </c>
      <c r="Y8" t="s">
        <v>98</v>
      </c>
      <c r="Z8" t="s">
        <v>56</v>
      </c>
      <c r="AC8" t="s">
        <v>99</v>
      </c>
      <c r="AD8">
        <v>59</v>
      </c>
      <c r="AF8" s="36"/>
      <c r="AH8" t="s">
        <v>34</v>
      </c>
      <c r="AI8" t="s">
        <v>100</v>
      </c>
      <c r="AJ8" t="s">
        <v>51</v>
      </c>
      <c r="AK8" t="e">
        <f>COUNTIF(#REF!,#REF!)</f>
        <v>#REF!</v>
      </c>
      <c r="AL8" t="e">
        <f>IF(#REF!="",#REF!,IF(ISNUMBER(FIND([2]!Fives[[#This Row],[Upgraded By]],[2]!Fives[[#This Row],[Split Credit]])),[2]!Fives[[#This Row],[Split Credit]],[2]!Fives[[#This Row],[Upgraded By]]&amp;"; "&amp;[2]!Fives[[#This Row],[Split Credit]]))</f>
        <v>#REF!</v>
      </c>
    </row>
    <row r="9" spans="1:38" x14ac:dyDescent="0.5">
      <c r="A9" t="s">
        <v>101</v>
      </c>
      <c r="B9" t="s">
        <v>102</v>
      </c>
      <c r="C9" t="s">
        <v>103</v>
      </c>
      <c r="D9" s="34" t="s">
        <v>116</v>
      </c>
      <c r="E9" s="38" t="s">
        <v>64</v>
      </c>
      <c r="G9" t="s">
        <v>64</v>
      </c>
      <c r="H9" s="36">
        <v>45354</v>
      </c>
      <c r="I9" t="s">
        <v>55</v>
      </c>
      <c r="J9" t="s">
        <v>31</v>
      </c>
      <c r="K9" t="s">
        <v>32</v>
      </c>
      <c r="N9" t="s">
        <v>31</v>
      </c>
      <c r="O9" t="s">
        <v>33</v>
      </c>
      <c r="Q9">
        <v>0</v>
      </c>
      <c r="R9" s="36">
        <v>45351</v>
      </c>
      <c r="S9" t="s">
        <v>105</v>
      </c>
      <c r="T9" s="36">
        <v>45351</v>
      </c>
      <c r="U9" t="s">
        <v>59</v>
      </c>
      <c r="V9" s="37" t="s">
        <v>106</v>
      </c>
      <c r="W9" t="s">
        <v>107</v>
      </c>
      <c r="X9" t="s">
        <v>108</v>
      </c>
      <c r="Y9" t="s">
        <v>109</v>
      </c>
      <c r="Z9" t="s">
        <v>58</v>
      </c>
      <c r="AC9" t="s">
        <v>110</v>
      </c>
      <c r="AD9">
        <v>104</v>
      </c>
      <c r="AF9" s="36"/>
      <c r="AH9" t="s">
        <v>34</v>
      </c>
      <c r="AI9" t="s">
        <v>111</v>
      </c>
      <c r="AJ9" t="s">
        <v>51</v>
      </c>
      <c r="AK9" t="e">
        <f>COUNTIF(#REF!,#REF!)</f>
        <v>#REF!</v>
      </c>
      <c r="AL9" t="e">
        <f>IF(#REF!="",#REF!,IF(ISNUMBER(FIND([2]!Fives[[#This Row],[Upgraded By]],[2]!Fives[[#This Row],[Split Credit]])),[2]!Fives[[#This Row],[Split Credit]],[2]!Fives[[#This Row],[Upgraded By]]&amp;"; "&amp;[2]!Fives[[#This Row],[Split Credit]]))</f>
        <v>#REF!</v>
      </c>
    </row>
    <row r="10" spans="1:38" x14ac:dyDescent="0.5">
      <c r="A10" t="s">
        <v>60</v>
      </c>
      <c r="B10" t="s">
        <v>61</v>
      </c>
      <c r="C10" t="s">
        <v>62</v>
      </c>
      <c r="D10" s="33" t="s">
        <v>117</v>
      </c>
      <c r="E10" s="35" t="s">
        <v>64</v>
      </c>
      <c r="G10" t="s">
        <v>64</v>
      </c>
      <c r="H10" s="36">
        <v>45348</v>
      </c>
      <c r="I10" t="s">
        <v>55</v>
      </c>
      <c r="J10" t="s">
        <v>31</v>
      </c>
      <c r="K10" t="s">
        <v>32</v>
      </c>
      <c r="N10" t="s">
        <v>31</v>
      </c>
      <c r="O10" t="s">
        <v>33</v>
      </c>
      <c r="Q10">
        <v>0</v>
      </c>
      <c r="R10" s="36">
        <v>45348</v>
      </c>
      <c r="S10" t="s">
        <v>65</v>
      </c>
      <c r="T10" s="36">
        <v>45348</v>
      </c>
      <c r="U10" t="s">
        <v>66</v>
      </c>
      <c r="V10" s="37" t="s">
        <v>67</v>
      </c>
      <c r="W10" t="s">
        <v>68</v>
      </c>
      <c r="X10" t="s">
        <v>69</v>
      </c>
      <c r="Y10" t="s">
        <v>70</v>
      </c>
      <c r="Z10" t="s">
        <v>71</v>
      </c>
      <c r="AA10" t="s">
        <v>72</v>
      </c>
      <c r="AC10" t="s">
        <v>73</v>
      </c>
      <c r="AD10">
        <v>93</v>
      </c>
      <c r="AE10">
        <v>0</v>
      </c>
      <c r="AF10" s="36">
        <v>44593</v>
      </c>
      <c r="AG10">
        <v>400000</v>
      </c>
      <c r="AH10" t="s">
        <v>57</v>
      </c>
      <c r="AI10" t="s">
        <v>74</v>
      </c>
      <c r="AJ10" t="s">
        <v>51</v>
      </c>
      <c r="AK10" t="e">
        <f>COUNTIF(#REF!,#REF!)</f>
        <v>#REF!</v>
      </c>
      <c r="AL10" t="e">
        <f>IF(#REF!="",#REF!,IF(ISNUMBER(FIND([2]!Fives[[#This Row],[Upgraded By]],[2]!Fives[[#This Row],[Split Credit]])),[2]!Fives[[#This Row],[Split Credit]],[2]!Fives[[#This Row],[Upgraded By]]&amp;"; "&amp;[2]!Fives[[#This Row],[Split Credit]]))</f>
        <v>#REF!</v>
      </c>
    </row>
    <row r="11" spans="1:38" x14ac:dyDescent="0.5">
      <c r="A11" t="s">
        <v>75</v>
      </c>
      <c r="B11" t="s">
        <v>76</v>
      </c>
      <c r="C11" t="s">
        <v>77</v>
      </c>
      <c r="D11" s="34" t="s">
        <v>118</v>
      </c>
      <c r="E11" s="35" t="s">
        <v>79</v>
      </c>
      <c r="G11" t="s">
        <v>64</v>
      </c>
      <c r="H11" s="36">
        <v>45350</v>
      </c>
      <c r="I11" t="s">
        <v>49</v>
      </c>
      <c r="J11" t="s">
        <v>31</v>
      </c>
      <c r="K11" t="s">
        <v>32</v>
      </c>
      <c r="N11" t="s">
        <v>31</v>
      </c>
      <c r="O11" t="s">
        <v>33</v>
      </c>
      <c r="Q11">
        <v>0</v>
      </c>
      <c r="R11" s="36">
        <v>45350</v>
      </c>
      <c r="S11" t="s">
        <v>80</v>
      </c>
      <c r="T11" s="36">
        <v>45350</v>
      </c>
      <c r="U11" t="s">
        <v>81</v>
      </c>
      <c r="V11" s="37" t="s">
        <v>82</v>
      </c>
      <c r="W11" t="s">
        <v>83</v>
      </c>
      <c r="X11" t="s">
        <v>84</v>
      </c>
      <c r="Y11" t="s">
        <v>85</v>
      </c>
      <c r="Z11" t="s">
        <v>86</v>
      </c>
      <c r="AC11" t="s">
        <v>87</v>
      </c>
      <c r="AD11">
        <v>109</v>
      </c>
      <c r="AF11" s="36"/>
      <c r="AH11" t="s">
        <v>34</v>
      </c>
      <c r="AI11" t="s">
        <v>88</v>
      </c>
      <c r="AJ11" t="s">
        <v>51</v>
      </c>
      <c r="AK11" t="e">
        <f>COUNTIF(#REF!,#REF!)</f>
        <v>#REF!</v>
      </c>
      <c r="AL11" t="e">
        <f>IF(#REF!="",#REF!,IF(ISNUMBER(FIND([2]!Fives[[#This Row],[Upgraded By]],[2]!Fives[[#This Row],[Split Credit]])),[2]!Fives[[#This Row],[Split Credit]],[2]!Fives[[#This Row],[Upgraded By]]&amp;"; "&amp;[2]!Fives[[#This Row],[Split Credit]]))</f>
        <v>#REF!</v>
      </c>
    </row>
    <row r="12" spans="1:38" x14ac:dyDescent="0.5">
      <c r="A12" t="s">
        <v>89</v>
      </c>
      <c r="B12" t="s">
        <v>90</v>
      </c>
      <c r="C12" t="s">
        <v>91</v>
      </c>
      <c r="D12" s="33" t="s">
        <v>119</v>
      </c>
      <c r="E12" s="35" t="s">
        <v>64</v>
      </c>
      <c r="G12" t="s">
        <v>64</v>
      </c>
      <c r="H12" s="36">
        <v>45354</v>
      </c>
      <c r="I12" t="s">
        <v>49</v>
      </c>
      <c r="J12" t="s">
        <v>31</v>
      </c>
      <c r="K12" t="s">
        <v>32</v>
      </c>
      <c r="N12" t="s">
        <v>31</v>
      </c>
      <c r="O12" t="s">
        <v>33</v>
      </c>
      <c r="Q12">
        <v>0</v>
      </c>
      <c r="R12" s="36">
        <v>45352</v>
      </c>
      <c r="S12" t="s">
        <v>93</v>
      </c>
      <c r="T12" s="36">
        <v>45352</v>
      </c>
      <c r="U12" t="s">
        <v>94</v>
      </c>
      <c r="V12" s="37" t="s">
        <v>95</v>
      </c>
      <c r="W12" t="s">
        <v>96</v>
      </c>
      <c r="X12" t="s">
        <v>97</v>
      </c>
      <c r="Y12" t="s">
        <v>98</v>
      </c>
      <c r="Z12" t="s">
        <v>56</v>
      </c>
      <c r="AC12" t="s">
        <v>99</v>
      </c>
      <c r="AD12">
        <v>59</v>
      </c>
      <c r="AF12" s="36"/>
      <c r="AH12" t="s">
        <v>34</v>
      </c>
      <c r="AI12" t="s">
        <v>100</v>
      </c>
      <c r="AJ12" t="s">
        <v>51</v>
      </c>
      <c r="AK12" t="e">
        <f>COUNTIF(#REF!,#REF!)</f>
        <v>#REF!</v>
      </c>
      <c r="AL12" t="e">
        <f>IF(#REF!="",#REF!,IF(ISNUMBER(FIND([2]!Fives[[#This Row],[Upgraded By]],[2]!Fives[[#This Row],[Split Credit]])),[2]!Fives[[#This Row],[Split Credit]],[2]!Fives[[#This Row],[Upgraded By]]&amp;"; "&amp;[2]!Fives[[#This Row],[Split Credit]]))</f>
        <v>#REF!</v>
      </c>
    </row>
    <row r="13" spans="1:38" x14ac:dyDescent="0.5">
      <c r="A13" t="s">
        <v>101</v>
      </c>
      <c r="B13" t="s">
        <v>102</v>
      </c>
      <c r="C13" t="s">
        <v>103</v>
      </c>
      <c r="D13" s="34" t="s">
        <v>120</v>
      </c>
      <c r="E13" s="38" t="s">
        <v>64</v>
      </c>
      <c r="G13" t="s">
        <v>64</v>
      </c>
      <c r="H13" s="36">
        <v>45354</v>
      </c>
      <c r="I13" t="s">
        <v>55</v>
      </c>
      <c r="J13" t="s">
        <v>31</v>
      </c>
      <c r="K13" t="s">
        <v>32</v>
      </c>
      <c r="N13" t="s">
        <v>31</v>
      </c>
      <c r="O13" t="s">
        <v>33</v>
      </c>
      <c r="Q13">
        <v>0</v>
      </c>
      <c r="R13" s="36">
        <v>45351</v>
      </c>
      <c r="S13" t="s">
        <v>105</v>
      </c>
      <c r="T13" s="36">
        <v>45351</v>
      </c>
      <c r="U13" t="s">
        <v>59</v>
      </c>
      <c r="V13" s="37" t="s">
        <v>106</v>
      </c>
      <c r="W13" t="s">
        <v>107</v>
      </c>
      <c r="X13" t="s">
        <v>108</v>
      </c>
      <c r="Y13" t="s">
        <v>109</v>
      </c>
      <c r="Z13" t="s">
        <v>58</v>
      </c>
      <c r="AC13" t="s">
        <v>110</v>
      </c>
      <c r="AD13">
        <v>104</v>
      </c>
      <c r="AF13" s="36"/>
      <c r="AH13" t="s">
        <v>34</v>
      </c>
      <c r="AI13" t="s">
        <v>111</v>
      </c>
      <c r="AJ13" t="s">
        <v>51</v>
      </c>
      <c r="AK13" t="e">
        <f>COUNTIF(#REF!,#REF!)</f>
        <v>#REF!</v>
      </c>
      <c r="AL13" t="e">
        <f>IF(#REF!="",#REF!,IF(ISNUMBER(FIND([2]!Fives[[#This Row],[Upgraded By]],[2]!Fives[[#This Row],[Split Credit]])),[2]!Fives[[#This Row],[Split Credit]],[2]!Fives[[#This Row],[Upgraded By]]&amp;"; "&amp;[2]!Fives[[#This Row],[Split Credit]]))</f>
        <v>#REF!</v>
      </c>
    </row>
    <row r="14" spans="1:38" x14ac:dyDescent="0.5">
      <c r="A14" t="s">
        <v>60</v>
      </c>
      <c r="B14" t="s">
        <v>61</v>
      </c>
      <c r="C14" t="s">
        <v>62</v>
      </c>
      <c r="D14" s="33" t="s">
        <v>121</v>
      </c>
      <c r="E14" s="35" t="s">
        <v>64</v>
      </c>
      <c r="G14" t="s">
        <v>64</v>
      </c>
      <c r="H14" s="36">
        <v>45348</v>
      </c>
      <c r="I14" t="s">
        <v>55</v>
      </c>
      <c r="J14" t="s">
        <v>31</v>
      </c>
      <c r="K14" t="s">
        <v>32</v>
      </c>
      <c r="N14" t="s">
        <v>31</v>
      </c>
      <c r="O14" t="s">
        <v>33</v>
      </c>
      <c r="Q14">
        <v>0</v>
      </c>
      <c r="R14" s="36">
        <v>45348</v>
      </c>
      <c r="S14" t="s">
        <v>65</v>
      </c>
      <c r="T14" s="36">
        <v>45348</v>
      </c>
      <c r="U14" t="s">
        <v>66</v>
      </c>
      <c r="V14" s="37" t="s">
        <v>67</v>
      </c>
      <c r="W14" t="s">
        <v>68</v>
      </c>
      <c r="X14" t="s">
        <v>69</v>
      </c>
      <c r="Y14" t="s">
        <v>70</v>
      </c>
      <c r="Z14" t="s">
        <v>71</v>
      </c>
      <c r="AA14" t="s">
        <v>72</v>
      </c>
      <c r="AC14" t="s">
        <v>73</v>
      </c>
      <c r="AD14">
        <v>93</v>
      </c>
      <c r="AE14">
        <v>0</v>
      </c>
      <c r="AF14" s="36">
        <v>44593</v>
      </c>
      <c r="AG14">
        <v>400000</v>
      </c>
      <c r="AH14" t="s">
        <v>57</v>
      </c>
      <c r="AI14" t="s">
        <v>74</v>
      </c>
      <c r="AJ14" t="s">
        <v>51</v>
      </c>
      <c r="AK14" t="e">
        <f>COUNTIF(#REF!,#REF!)</f>
        <v>#REF!</v>
      </c>
      <c r="AL14" t="e">
        <f>IF(#REF!="",#REF!,IF(ISNUMBER(FIND([2]!Fives[[#This Row],[Upgraded By]],[2]!Fives[[#This Row],[Split Credit]])),[2]!Fives[[#This Row],[Split Credit]],[2]!Fives[[#This Row],[Upgraded By]]&amp;"; "&amp;[2]!Fives[[#This Row],[Split Credit]]))</f>
        <v>#REF!</v>
      </c>
    </row>
    <row r="15" spans="1:38" x14ac:dyDescent="0.5">
      <c r="A15" t="s">
        <v>75</v>
      </c>
      <c r="B15" t="s">
        <v>76</v>
      </c>
      <c r="C15" t="s">
        <v>77</v>
      </c>
      <c r="D15" s="34" t="s">
        <v>122</v>
      </c>
      <c r="E15" s="35" t="s">
        <v>79</v>
      </c>
      <c r="G15" t="s">
        <v>64</v>
      </c>
      <c r="H15" s="36">
        <v>45350</v>
      </c>
      <c r="I15" t="s">
        <v>49</v>
      </c>
      <c r="J15" t="s">
        <v>31</v>
      </c>
      <c r="K15" t="s">
        <v>32</v>
      </c>
      <c r="N15" t="s">
        <v>31</v>
      </c>
      <c r="O15" t="s">
        <v>33</v>
      </c>
      <c r="Q15">
        <v>0</v>
      </c>
      <c r="R15" s="36">
        <v>45350</v>
      </c>
      <c r="S15" t="s">
        <v>80</v>
      </c>
      <c r="T15" s="36">
        <v>45350</v>
      </c>
      <c r="U15" t="s">
        <v>81</v>
      </c>
      <c r="V15" s="37" t="s">
        <v>82</v>
      </c>
      <c r="W15" t="s">
        <v>83</v>
      </c>
      <c r="X15" t="s">
        <v>84</v>
      </c>
      <c r="Y15" t="s">
        <v>85</v>
      </c>
      <c r="Z15" t="s">
        <v>86</v>
      </c>
      <c r="AC15" t="s">
        <v>87</v>
      </c>
      <c r="AD15">
        <v>109</v>
      </c>
      <c r="AF15" s="36"/>
      <c r="AH15" t="s">
        <v>34</v>
      </c>
      <c r="AI15" t="s">
        <v>88</v>
      </c>
      <c r="AJ15" t="s">
        <v>51</v>
      </c>
      <c r="AK15" t="e">
        <f>COUNTIF(#REF!,#REF!)</f>
        <v>#REF!</v>
      </c>
      <c r="AL15" t="e">
        <f>IF(#REF!="",#REF!,IF(ISNUMBER(FIND([2]!Fives[[#This Row],[Upgraded By]],[2]!Fives[[#This Row],[Split Credit]])),[2]!Fives[[#This Row],[Split Credit]],[2]!Fives[[#This Row],[Upgraded By]]&amp;"; "&amp;[2]!Fives[[#This Row],[Split Credit]]))</f>
        <v>#REF!</v>
      </c>
    </row>
    <row r="16" spans="1:38" x14ac:dyDescent="0.5">
      <c r="A16" t="s">
        <v>89</v>
      </c>
      <c r="B16" t="s">
        <v>90</v>
      </c>
      <c r="C16" t="s">
        <v>91</v>
      </c>
      <c r="D16" s="33" t="s">
        <v>123</v>
      </c>
      <c r="E16" s="35" t="s">
        <v>64</v>
      </c>
      <c r="G16" t="s">
        <v>64</v>
      </c>
      <c r="H16" s="36">
        <v>45354</v>
      </c>
      <c r="I16" t="s">
        <v>49</v>
      </c>
      <c r="J16" t="s">
        <v>31</v>
      </c>
      <c r="K16" t="s">
        <v>32</v>
      </c>
      <c r="N16" t="s">
        <v>31</v>
      </c>
      <c r="O16" t="s">
        <v>33</v>
      </c>
      <c r="Q16">
        <v>0</v>
      </c>
      <c r="R16" s="36">
        <v>45352</v>
      </c>
      <c r="S16" t="s">
        <v>93</v>
      </c>
      <c r="T16" s="36">
        <v>45352</v>
      </c>
      <c r="U16" t="s">
        <v>94</v>
      </c>
      <c r="V16" s="37" t="s">
        <v>95</v>
      </c>
      <c r="W16" t="s">
        <v>96</v>
      </c>
      <c r="X16" t="s">
        <v>97</v>
      </c>
      <c r="Y16" t="s">
        <v>98</v>
      </c>
      <c r="Z16" t="s">
        <v>56</v>
      </c>
      <c r="AC16" t="s">
        <v>99</v>
      </c>
      <c r="AD16">
        <v>59</v>
      </c>
      <c r="AF16" s="36"/>
      <c r="AH16" t="s">
        <v>34</v>
      </c>
      <c r="AI16" t="s">
        <v>100</v>
      </c>
      <c r="AJ16" t="s">
        <v>51</v>
      </c>
      <c r="AK16" t="e">
        <f>COUNTIF(#REF!,#REF!)</f>
        <v>#REF!</v>
      </c>
      <c r="AL16" t="e">
        <f>IF(#REF!="",#REF!,IF(ISNUMBER(FIND([2]!Fives[[#This Row],[Upgraded By]],[2]!Fives[[#This Row],[Split Credit]])),[2]!Fives[[#This Row],[Split Credit]],[2]!Fives[[#This Row],[Upgraded By]]&amp;"; "&amp;[2]!Fives[[#This Row],[Split Credit]]))</f>
        <v>#REF!</v>
      </c>
    </row>
    <row r="17" spans="1:38" x14ac:dyDescent="0.5">
      <c r="A17" t="s">
        <v>101</v>
      </c>
      <c r="B17" t="s">
        <v>102</v>
      </c>
      <c r="C17" t="s">
        <v>103</v>
      </c>
      <c r="D17" s="34" t="s">
        <v>124</v>
      </c>
      <c r="E17" s="38" t="s">
        <v>64</v>
      </c>
      <c r="G17" t="s">
        <v>64</v>
      </c>
      <c r="H17" s="36">
        <v>45354</v>
      </c>
      <c r="I17" t="s">
        <v>55</v>
      </c>
      <c r="J17" t="s">
        <v>31</v>
      </c>
      <c r="K17" t="s">
        <v>32</v>
      </c>
      <c r="N17" t="s">
        <v>31</v>
      </c>
      <c r="O17" t="s">
        <v>33</v>
      </c>
      <c r="Q17">
        <v>0</v>
      </c>
      <c r="R17" s="36">
        <v>45351</v>
      </c>
      <c r="S17" t="s">
        <v>105</v>
      </c>
      <c r="T17" s="36">
        <v>45351</v>
      </c>
      <c r="U17" t="s">
        <v>59</v>
      </c>
      <c r="V17" s="37" t="s">
        <v>106</v>
      </c>
      <c r="W17" t="s">
        <v>107</v>
      </c>
      <c r="X17" t="s">
        <v>108</v>
      </c>
      <c r="Y17" t="s">
        <v>109</v>
      </c>
      <c r="Z17" t="s">
        <v>58</v>
      </c>
      <c r="AC17" t="s">
        <v>110</v>
      </c>
      <c r="AD17">
        <v>104</v>
      </c>
      <c r="AF17" s="36"/>
      <c r="AH17" t="s">
        <v>34</v>
      </c>
      <c r="AI17" t="s">
        <v>111</v>
      </c>
      <c r="AJ17" t="s">
        <v>51</v>
      </c>
      <c r="AK17" t="e">
        <f>COUNTIF(#REF!,#REF!)</f>
        <v>#REF!</v>
      </c>
      <c r="AL17" t="e">
        <f>IF(#REF!="",#REF!,IF(ISNUMBER(FIND([2]!Fives[[#This Row],[Upgraded By]],[2]!Fives[[#This Row],[Split Credit]])),[2]!Fives[[#This Row],[Split Credit]],[2]!Fives[[#This Row],[Upgraded By]]&amp;"; "&amp;[2]!Fives[[#This Row],[Split Credit]]))</f>
        <v>#REF!</v>
      </c>
    </row>
    <row r="18" spans="1:38" x14ac:dyDescent="0.5">
      <c r="A18" t="s">
        <v>60</v>
      </c>
      <c r="B18" t="s">
        <v>61</v>
      </c>
      <c r="C18" t="s">
        <v>62</v>
      </c>
      <c r="D18" s="33" t="s">
        <v>125</v>
      </c>
      <c r="E18" s="35" t="s">
        <v>64</v>
      </c>
      <c r="G18" t="s">
        <v>64</v>
      </c>
      <c r="H18" s="36">
        <v>45348</v>
      </c>
      <c r="I18" t="s">
        <v>55</v>
      </c>
      <c r="J18" t="s">
        <v>31</v>
      </c>
      <c r="K18" t="s">
        <v>32</v>
      </c>
      <c r="N18" t="s">
        <v>31</v>
      </c>
      <c r="O18" t="s">
        <v>33</v>
      </c>
      <c r="Q18">
        <v>0</v>
      </c>
      <c r="R18" s="36">
        <v>45348</v>
      </c>
      <c r="S18" t="s">
        <v>65</v>
      </c>
      <c r="T18" s="36">
        <v>45348</v>
      </c>
      <c r="U18" t="s">
        <v>66</v>
      </c>
      <c r="V18" s="37" t="s">
        <v>67</v>
      </c>
      <c r="W18" t="s">
        <v>68</v>
      </c>
      <c r="X18" t="s">
        <v>69</v>
      </c>
      <c r="Y18" t="s">
        <v>70</v>
      </c>
      <c r="Z18" t="s">
        <v>71</v>
      </c>
      <c r="AA18" t="s">
        <v>72</v>
      </c>
      <c r="AC18" t="s">
        <v>73</v>
      </c>
      <c r="AD18">
        <v>93</v>
      </c>
      <c r="AE18">
        <v>0</v>
      </c>
      <c r="AF18" s="36">
        <v>44593</v>
      </c>
      <c r="AG18">
        <v>400000</v>
      </c>
      <c r="AH18" t="s">
        <v>57</v>
      </c>
      <c r="AI18" t="s">
        <v>74</v>
      </c>
      <c r="AJ18" t="s">
        <v>51</v>
      </c>
      <c r="AK18" t="e">
        <f>COUNTIF(#REF!,#REF!)</f>
        <v>#REF!</v>
      </c>
      <c r="AL18" t="e">
        <f>IF(#REF!="",#REF!,IF(ISNUMBER(FIND([2]!Fives[[#This Row],[Upgraded By]],[2]!Fives[[#This Row],[Split Credit]])),[2]!Fives[[#This Row],[Split Credit]],[2]!Fives[[#This Row],[Upgraded By]]&amp;"; "&amp;[2]!Fives[[#This Row],[Split Credit]]))</f>
        <v>#REF!</v>
      </c>
    </row>
    <row r="19" spans="1:38" x14ac:dyDescent="0.5">
      <c r="A19" t="s">
        <v>75</v>
      </c>
      <c r="B19" t="s">
        <v>76</v>
      </c>
      <c r="C19" t="s">
        <v>77</v>
      </c>
      <c r="D19" s="34" t="s">
        <v>126</v>
      </c>
      <c r="E19" s="35" t="s">
        <v>79</v>
      </c>
      <c r="G19" t="s">
        <v>64</v>
      </c>
      <c r="H19" s="36">
        <v>45350</v>
      </c>
      <c r="I19" t="s">
        <v>49</v>
      </c>
      <c r="J19" t="s">
        <v>31</v>
      </c>
      <c r="K19" t="s">
        <v>32</v>
      </c>
      <c r="N19" t="s">
        <v>31</v>
      </c>
      <c r="O19" t="s">
        <v>33</v>
      </c>
      <c r="Q19">
        <v>0</v>
      </c>
      <c r="R19" s="36">
        <v>45350</v>
      </c>
      <c r="S19" t="s">
        <v>80</v>
      </c>
      <c r="T19" s="36">
        <v>45350</v>
      </c>
      <c r="U19" t="s">
        <v>81</v>
      </c>
      <c r="V19" s="37" t="s">
        <v>82</v>
      </c>
      <c r="W19" t="s">
        <v>83</v>
      </c>
      <c r="X19" t="s">
        <v>84</v>
      </c>
      <c r="Y19" t="s">
        <v>85</v>
      </c>
      <c r="Z19" t="s">
        <v>86</v>
      </c>
      <c r="AC19" t="s">
        <v>87</v>
      </c>
      <c r="AD19">
        <v>109</v>
      </c>
      <c r="AF19" s="36"/>
      <c r="AH19" t="s">
        <v>34</v>
      </c>
      <c r="AI19" t="s">
        <v>88</v>
      </c>
      <c r="AJ19" t="s">
        <v>51</v>
      </c>
      <c r="AK19" t="e">
        <f>COUNTIF(#REF!,#REF!)</f>
        <v>#REF!</v>
      </c>
      <c r="AL19" t="e">
        <f>IF(#REF!="",#REF!,IF(ISNUMBER(FIND([2]!Fives[[#This Row],[Upgraded By]],[2]!Fives[[#This Row],[Split Credit]])),[2]!Fives[[#This Row],[Split Credit]],[2]!Fives[[#This Row],[Upgraded By]]&amp;"; "&amp;[2]!Fives[[#This Row],[Split Credit]]))</f>
        <v>#REF!</v>
      </c>
    </row>
    <row r="20" spans="1:38" x14ac:dyDescent="0.5">
      <c r="A20" t="s">
        <v>89</v>
      </c>
      <c r="B20" t="s">
        <v>90</v>
      </c>
      <c r="C20" t="s">
        <v>91</v>
      </c>
      <c r="D20" s="33" t="s">
        <v>127</v>
      </c>
      <c r="E20" s="35" t="s">
        <v>64</v>
      </c>
      <c r="G20" t="s">
        <v>64</v>
      </c>
      <c r="H20" s="36">
        <v>45354</v>
      </c>
      <c r="I20" t="s">
        <v>49</v>
      </c>
      <c r="J20" t="s">
        <v>31</v>
      </c>
      <c r="K20" t="s">
        <v>32</v>
      </c>
      <c r="N20" t="s">
        <v>31</v>
      </c>
      <c r="O20" t="s">
        <v>33</v>
      </c>
      <c r="Q20">
        <v>0</v>
      </c>
      <c r="R20" s="36">
        <v>45352</v>
      </c>
      <c r="S20" t="s">
        <v>93</v>
      </c>
      <c r="T20" s="36">
        <v>45352</v>
      </c>
      <c r="U20" t="s">
        <v>94</v>
      </c>
      <c r="V20" s="37" t="s">
        <v>95</v>
      </c>
      <c r="W20" t="s">
        <v>96</v>
      </c>
      <c r="X20" t="s">
        <v>97</v>
      </c>
      <c r="Y20" t="s">
        <v>98</v>
      </c>
      <c r="Z20" t="s">
        <v>56</v>
      </c>
      <c r="AC20" t="s">
        <v>99</v>
      </c>
      <c r="AD20">
        <v>59</v>
      </c>
      <c r="AF20" s="36"/>
      <c r="AH20" t="s">
        <v>34</v>
      </c>
      <c r="AI20" t="s">
        <v>100</v>
      </c>
      <c r="AJ20" t="s">
        <v>51</v>
      </c>
      <c r="AK20" t="e">
        <f>COUNTIF(#REF!,#REF!)</f>
        <v>#REF!</v>
      </c>
      <c r="AL20" t="e">
        <f>IF(#REF!="",#REF!,IF(ISNUMBER(FIND([2]!Fives[[#This Row],[Upgraded By]],[2]!Fives[[#This Row],[Split Credit]])),[2]!Fives[[#This Row],[Split Credit]],[2]!Fives[[#This Row],[Upgraded By]]&amp;"; "&amp;[2]!Fives[[#This Row],[Split Credit]]))</f>
        <v>#REF!</v>
      </c>
    </row>
    <row r="21" spans="1:38" x14ac:dyDescent="0.5">
      <c r="A21" t="s">
        <v>101</v>
      </c>
      <c r="B21" t="s">
        <v>102</v>
      </c>
      <c r="C21" t="s">
        <v>103</v>
      </c>
      <c r="D21" s="34" t="s">
        <v>128</v>
      </c>
      <c r="E21" s="38" t="s">
        <v>64</v>
      </c>
      <c r="G21" t="s">
        <v>64</v>
      </c>
      <c r="H21" s="36">
        <v>45354</v>
      </c>
      <c r="I21" t="s">
        <v>55</v>
      </c>
      <c r="J21" t="s">
        <v>31</v>
      </c>
      <c r="K21" t="s">
        <v>32</v>
      </c>
      <c r="N21" t="s">
        <v>31</v>
      </c>
      <c r="O21" t="s">
        <v>33</v>
      </c>
      <c r="Q21">
        <v>0</v>
      </c>
      <c r="R21" s="36">
        <v>45351</v>
      </c>
      <c r="S21" t="s">
        <v>105</v>
      </c>
      <c r="T21" s="36">
        <v>45351</v>
      </c>
      <c r="U21" t="s">
        <v>59</v>
      </c>
      <c r="V21" s="37" t="s">
        <v>106</v>
      </c>
      <c r="W21" t="s">
        <v>107</v>
      </c>
      <c r="X21" t="s">
        <v>108</v>
      </c>
      <c r="Y21" t="s">
        <v>109</v>
      </c>
      <c r="Z21" t="s">
        <v>58</v>
      </c>
      <c r="AC21" t="s">
        <v>110</v>
      </c>
      <c r="AD21">
        <v>104</v>
      </c>
      <c r="AF21" s="36"/>
      <c r="AH21" t="s">
        <v>34</v>
      </c>
      <c r="AI21" t="s">
        <v>111</v>
      </c>
      <c r="AJ21" t="s">
        <v>51</v>
      </c>
      <c r="AK21" t="e">
        <f>COUNTIF(#REF!,#REF!)</f>
        <v>#REF!</v>
      </c>
      <c r="AL21" t="e">
        <f>IF(#REF!="",#REF!,IF(ISNUMBER(FIND([2]!Fives[[#This Row],[Upgraded By]],[2]!Fives[[#This Row],[Split Credit]])),[2]!Fives[[#This Row],[Split Credit]],[2]!Fives[[#This Row],[Upgraded By]]&amp;"; "&amp;[2]!Fives[[#This Row],[Split Credit]]))</f>
        <v>#REF!</v>
      </c>
    </row>
    <row r="22" spans="1:38" x14ac:dyDescent="0.5">
      <c r="A22" t="s">
        <v>60</v>
      </c>
      <c r="B22" t="s">
        <v>61</v>
      </c>
      <c r="C22" t="s">
        <v>62</v>
      </c>
      <c r="D22" s="33" t="s">
        <v>129</v>
      </c>
      <c r="E22" s="35" t="s">
        <v>64</v>
      </c>
      <c r="G22" t="s">
        <v>64</v>
      </c>
      <c r="H22" s="36">
        <v>45348</v>
      </c>
      <c r="I22" t="s">
        <v>55</v>
      </c>
      <c r="J22" t="s">
        <v>31</v>
      </c>
      <c r="K22" t="s">
        <v>32</v>
      </c>
      <c r="N22" t="s">
        <v>31</v>
      </c>
      <c r="O22" t="s">
        <v>33</v>
      </c>
      <c r="Q22">
        <v>0</v>
      </c>
      <c r="R22" s="36">
        <v>45348</v>
      </c>
      <c r="S22" t="s">
        <v>65</v>
      </c>
      <c r="T22" s="36">
        <v>45348</v>
      </c>
      <c r="U22" t="s">
        <v>66</v>
      </c>
      <c r="V22" s="37" t="s">
        <v>67</v>
      </c>
      <c r="W22" t="s">
        <v>68</v>
      </c>
      <c r="X22" t="s">
        <v>69</v>
      </c>
      <c r="Y22" t="s">
        <v>70</v>
      </c>
      <c r="Z22" t="s">
        <v>71</v>
      </c>
      <c r="AA22" t="s">
        <v>72</v>
      </c>
      <c r="AC22" t="s">
        <v>73</v>
      </c>
      <c r="AD22">
        <v>93</v>
      </c>
      <c r="AE22">
        <v>0</v>
      </c>
      <c r="AF22" s="36">
        <v>44593</v>
      </c>
      <c r="AG22">
        <v>400000</v>
      </c>
      <c r="AH22" t="s">
        <v>57</v>
      </c>
      <c r="AI22" t="s">
        <v>74</v>
      </c>
      <c r="AJ22" t="s">
        <v>51</v>
      </c>
      <c r="AK22" t="e">
        <f>COUNTIF(#REF!,#REF!)</f>
        <v>#REF!</v>
      </c>
      <c r="AL22" t="e">
        <f>IF(#REF!="",#REF!,IF(ISNUMBER(FIND([2]!Fives[[#This Row],[Upgraded By]],[2]!Fives[[#This Row],[Split Credit]])),[2]!Fives[[#This Row],[Split Credit]],[2]!Fives[[#This Row],[Upgraded By]]&amp;"; "&amp;[2]!Fives[[#This Row],[Split Credit]]))</f>
        <v>#REF!</v>
      </c>
    </row>
    <row r="23" spans="1:38" x14ac:dyDescent="0.5">
      <c r="A23" t="s">
        <v>75</v>
      </c>
      <c r="B23" t="s">
        <v>76</v>
      </c>
      <c r="C23" t="s">
        <v>77</v>
      </c>
      <c r="D23" s="34" t="s">
        <v>130</v>
      </c>
      <c r="E23" s="35" t="s">
        <v>79</v>
      </c>
      <c r="G23" t="s">
        <v>64</v>
      </c>
      <c r="H23" s="36">
        <v>45350</v>
      </c>
      <c r="I23" t="s">
        <v>49</v>
      </c>
      <c r="J23" t="s">
        <v>31</v>
      </c>
      <c r="K23" t="s">
        <v>32</v>
      </c>
      <c r="N23" t="s">
        <v>31</v>
      </c>
      <c r="O23" t="s">
        <v>33</v>
      </c>
      <c r="Q23">
        <v>0</v>
      </c>
      <c r="R23" s="36">
        <v>45350</v>
      </c>
      <c r="S23" t="s">
        <v>80</v>
      </c>
      <c r="T23" s="36">
        <v>45350</v>
      </c>
      <c r="U23" t="s">
        <v>81</v>
      </c>
      <c r="V23" s="37" t="s">
        <v>82</v>
      </c>
      <c r="W23" t="s">
        <v>83</v>
      </c>
      <c r="X23" t="s">
        <v>84</v>
      </c>
      <c r="Y23" t="s">
        <v>85</v>
      </c>
      <c r="Z23" t="s">
        <v>86</v>
      </c>
      <c r="AC23" t="s">
        <v>87</v>
      </c>
      <c r="AD23">
        <v>109</v>
      </c>
      <c r="AF23" s="36"/>
      <c r="AH23" t="s">
        <v>34</v>
      </c>
      <c r="AI23" t="s">
        <v>88</v>
      </c>
      <c r="AJ23" t="s">
        <v>51</v>
      </c>
      <c r="AK23" t="e">
        <f>COUNTIF(#REF!,#REF!)</f>
        <v>#REF!</v>
      </c>
      <c r="AL23" t="e">
        <f>IF(#REF!="",#REF!,IF(ISNUMBER(FIND([2]!Fives[[#This Row],[Upgraded By]],[2]!Fives[[#This Row],[Split Credit]])),[2]!Fives[[#This Row],[Split Credit]],[2]!Fives[[#This Row],[Upgraded By]]&amp;"; "&amp;[2]!Fives[[#This Row],[Split Credit]]))</f>
        <v>#REF!</v>
      </c>
    </row>
    <row r="24" spans="1:38" x14ac:dyDescent="0.5">
      <c r="A24" t="s">
        <v>89</v>
      </c>
      <c r="B24" t="s">
        <v>90</v>
      </c>
      <c r="C24" t="s">
        <v>91</v>
      </c>
      <c r="D24" s="33" t="s">
        <v>131</v>
      </c>
      <c r="E24" s="35" t="s">
        <v>64</v>
      </c>
      <c r="G24" t="s">
        <v>64</v>
      </c>
      <c r="H24" s="36">
        <v>45354</v>
      </c>
      <c r="I24" t="s">
        <v>49</v>
      </c>
      <c r="J24" t="s">
        <v>31</v>
      </c>
      <c r="K24" t="s">
        <v>32</v>
      </c>
      <c r="N24" t="s">
        <v>31</v>
      </c>
      <c r="O24" t="s">
        <v>33</v>
      </c>
      <c r="Q24">
        <v>0</v>
      </c>
      <c r="R24" s="36">
        <v>45352</v>
      </c>
      <c r="S24" t="s">
        <v>93</v>
      </c>
      <c r="T24" s="36">
        <v>45352</v>
      </c>
      <c r="U24" t="s">
        <v>94</v>
      </c>
      <c r="V24" s="37" t="s">
        <v>95</v>
      </c>
      <c r="W24" t="s">
        <v>96</v>
      </c>
      <c r="X24" t="s">
        <v>97</v>
      </c>
      <c r="Y24" t="s">
        <v>98</v>
      </c>
      <c r="Z24" t="s">
        <v>56</v>
      </c>
      <c r="AC24" t="s">
        <v>99</v>
      </c>
      <c r="AD24">
        <v>59</v>
      </c>
      <c r="AF24" s="36"/>
      <c r="AH24" t="s">
        <v>34</v>
      </c>
      <c r="AI24" t="s">
        <v>100</v>
      </c>
      <c r="AJ24" t="s">
        <v>51</v>
      </c>
      <c r="AK24" t="e">
        <f>COUNTIF(#REF!,#REF!)</f>
        <v>#REF!</v>
      </c>
      <c r="AL24" t="e">
        <f>IF(#REF!="",#REF!,IF(ISNUMBER(FIND([2]!Fives[[#This Row],[Upgraded By]],[2]!Fives[[#This Row],[Split Credit]])),[2]!Fives[[#This Row],[Split Credit]],[2]!Fives[[#This Row],[Upgraded By]]&amp;"; "&amp;[2]!Fives[[#This Row],[Split Credit]]))</f>
        <v>#REF!</v>
      </c>
    </row>
    <row r="25" spans="1:38" x14ac:dyDescent="0.5">
      <c r="A25" t="s">
        <v>101</v>
      </c>
      <c r="B25" t="s">
        <v>102</v>
      </c>
      <c r="C25" t="s">
        <v>103</v>
      </c>
      <c r="D25" s="34" t="s">
        <v>132</v>
      </c>
      <c r="E25" s="38" t="s">
        <v>64</v>
      </c>
      <c r="G25" t="s">
        <v>64</v>
      </c>
      <c r="H25" s="36">
        <v>45354</v>
      </c>
      <c r="I25" t="s">
        <v>55</v>
      </c>
      <c r="J25" t="s">
        <v>31</v>
      </c>
      <c r="K25" t="s">
        <v>32</v>
      </c>
      <c r="N25" t="s">
        <v>31</v>
      </c>
      <c r="O25" t="s">
        <v>33</v>
      </c>
      <c r="Q25">
        <v>0</v>
      </c>
      <c r="R25" s="36">
        <v>45351</v>
      </c>
      <c r="S25" t="s">
        <v>105</v>
      </c>
      <c r="T25" s="36">
        <v>45351</v>
      </c>
      <c r="U25" t="s">
        <v>59</v>
      </c>
      <c r="V25" s="37" t="s">
        <v>106</v>
      </c>
      <c r="W25" t="s">
        <v>107</v>
      </c>
      <c r="X25" t="s">
        <v>108</v>
      </c>
      <c r="Y25" t="s">
        <v>109</v>
      </c>
      <c r="Z25" t="s">
        <v>58</v>
      </c>
      <c r="AC25" t="s">
        <v>110</v>
      </c>
      <c r="AD25">
        <v>104</v>
      </c>
      <c r="AF25" s="36"/>
      <c r="AH25" t="s">
        <v>34</v>
      </c>
      <c r="AI25" t="s">
        <v>111</v>
      </c>
      <c r="AJ25" t="s">
        <v>51</v>
      </c>
      <c r="AK25" t="e">
        <f>COUNTIF(#REF!,#REF!)</f>
        <v>#REF!</v>
      </c>
      <c r="AL25" t="e">
        <f>IF(#REF!="",#REF!,IF(ISNUMBER(FIND([2]!Fives[[#This Row],[Upgraded By]],[2]!Fives[[#This Row],[Split Credit]])),[2]!Fives[[#This Row],[Split Credit]],[2]!Fives[[#This Row],[Upgraded By]]&amp;"; "&amp;[2]!Fives[[#This Row],[Split Credit]]))</f>
        <v>#REF!</v>
      </c>
    </row>
    <row r="26" spans="1:38" x14ac:dyDescent="0.5">
      <c r="A26" t="s">
        <v>60</v>
      </c>
      <c r="B26" t="s">
        <v>61</v>
      </c>
      <c r="C26" t="s">
        <v>62</v>
      </c>
      <c r="D26" s="33" t="s">
        <v>133</v>
      </c>
      <c r="E26" s="35" t="s">
        <v>64</v>
      </c>
      <c r="G26" t="s">
        <v>64</v>
      </c>
      <c r="H26" s="36">
        <v>45348</v>
      </c>
      <c r="I26" t="s">
        <v>55</v>
      </c>
      <c r="J26" t="s">
        <v>31</v>
      </c>
      <c r="K26" t="s">
        <v>32</v>
      </c>
      <c r="N26" t="s">
        <v>31</v>
      </c>
      <c r="O26" t="s">
        <v>33</v>
      </c>
      <c r="Q26">
        <v>0</v>
      </c>
      <c r="R26" s="36">
        <v>45348</v>
      </c>
      <c r="S26" t="s">
        <v>65</v>
      </c>
      <c r="T26" s="36">
        <v>45348</v>
      </c>
      <c r="U26" t="s">
        <v>66</v>
      </c>
      <c r="V26" s="37" t="s">
        <v>67</v>
      </c>
      <c r="W26" t="s">
        <v>68</v>
      </c>
      <c r="X26" t="s">
        <v>69</v>
      </c>
      <c r="Y26" t="s">
        <v>70</v>
      </c>
      <c r="Z26" t="s">
        <v>71</v>
      </c>
      <c r="AA26" t="s">
        <v>72</v>
      </c>
      <c r="AC26" t="s">
        <v>73</v>
      </c>
      <c r="AD26">
        <v>93</v>
      </c>
      <c r="AE26">
        <v>0</v>
      </c>
      <c r="AF26" s="36">
        <v>44593</v>
      </c>
      <c r="AG26">
        <v>400000</v>
      </c>
      <c r="AH26" t="s">
        <v>57</v>
      </c>
      <c r="AI26" t="s">
        <v>74</v>
      </c>
      <c r="AJ26" t="s">
        <v>51</v>
      </c>
      <c r="AK26" t="e">
        <f>COUNTIF(#REF!,#REF!)</f>
        <v>#REF!</v>
      </c>
      <c r="AL26" t="e">
        <f>IF(#REF!="",#REF!,IF(ISNUMBER(FIND([2]!Fives[[#This Row],[Upgraded By]],[2]!Fives[[#This Row],[Split Credit]])),[2]!Fives[[#This Row],[Split Credit]],[2]!Fives[[#This Row],[Upgraded By]]&amp;"; "&amp;[2]!Fives[[#This Row],[Split Credit]]))</f>
        <v>#REF!</v>
      </c>
    </row>
    <row r="27" spans="1:38" x14ac:dyDescent="0.5">
      <c r="A27" t="s">
        <v>75</v>
      </c>
      <c r="B27" t="s">
        <v>76</v>
      </c>
      <c r="C27" t="s">
        <v>77</v>
      </c>
      <c r="D27" s="34" t="s">
        <v>134</v>
      </c>
      <c r="E27" s="35" t="s">
        <v>79</v>
      </c>
      <c r="G27" t="s">
        <v>64</v>
      </c>
      <c r="H27" s="36">
        <v>45350</v>
      </c>
      <c r="I27" t="s">
        <v>49</v>
      </c>
      <c r="J27" t="s">
        <v>31</v>
      </c>
      <c r="K27" t="s">
        <v>32</v>
      </c>
      <c r="N27" t="s">
        <v>31</v>
      </c>
      <c r="O27" t="s">
        <v>33</v>
      </c>
      <c r="Q27">
        <v>0</v>
      </c>
      <c r="R27" s="36">
        <v>45350</v>
      </c>
      <c r="S27" t="s">
        <v>80</v>
      </c>
      <c r="T27" s="36">
        <v>45350</v>
      </c>
      <c r="U27" t="s">
        <v>81</v>
      </c>
      <c r="V27" s="37" t="s">
        <v>82</v>
      </c>
      <c r="W27" t="s">
        <v>83</v>
      </c>
      <c r="X27" t="s">
        <v>84</v>
      </c>
      <c r="Y27" t="s">
        <v>85</v>
      </c>
      <c r="Z27" t="s">
        <v>86</v>
      </c>
      <c r="AC27" t="s">
        <v>87</v>
      </c>
      <c r="AD27">
        <v>109</v>
      </c>
      <c r="AF27" s="36"/>
      <c r="AH27" t="s">
        <v>34</v>
      </c>
      <c r="AI27" t="s">
        <v>88</v>
      </c>
      <c r="AJ27" t="s">
        <v>51</v>
      </c>
      <c r="AK27" t="e">
        <f>COUNTIF(#REF!,#REF!)</f>
        <v>#REF!</v>
      </c>
      <c r="AL27" t="e">
        <f>IF(#REF!="",#REF!,IF(ISNUMBER(FIND([2]!Fives[[#This Row],[Upgraded By]],[2]!Fives[[#This Row],[Split Credit]])),[2]!Fives[[#This Row],[Split Credit]],[2]!Fives[[#This Row],[Upgraded By]]&amp;"; "&amp;[2]!Fives[[#This Row],[Split Credit]]))</f>
        <v>#REF!</v>
      </c>
    </row>
    <row r="28" spans="1:38" x14ac:dyDescent="0.5">
      <c r="A28" t="s">
        <v>89</v>
      </c>
      <c r="B28" t="s">
        <v>90</v>
      </c>
      <c r="C28" t="s">
        <v>91</v>
      </c>
      <c r="D28" s="33" t="s">
        <v>135</v>
      </c>
      <c r="E28" s="35" t="s">
        <v>64</v>
      </c>
      <c r="G28" t="s">
        <v>64</v>
      </c>
      <c r="H28" s="36">
        <v>45354</v>
      </c>
      <c r="I28" t="s">
        <v>49</v>
      </c>
      <c r="J28" t="s">
        <v>31</v>
      </c>
      <c r="K28" t="s">
        <v>32</v>
      </c>
      <c r="N28" t="s">
        <v>31</v>
      </c>
      <c r="O28" t="s">
        <v>33</v>
      </c>
      <c r="Q28">
        <v>0</v>
      </c>
      <c r="R28" s="36">
        <v>45352</v>
      </c>
      <c r="S28" t="s">
        <v>93</v>
      </c>
      <c r="T28" s="36">
        <v>45352</v>
      </c>
      <c r="U28" t="s">
        <v>94</v>
      </c>
      <c r="V28" s="37" t="s">
        <v>95</v>
      </c>
      <c r="W28" t="s">
        <v>96</v>
      </c>
      <c r="X28" t="s">
        <v>97</v>
      </c>
      <c r="Y28" t="s">
        <v>98</v>
      </c>
      <c r="Z28" t="s">
        <v>56</v>
      </c>
      <c r="AC28" t="s">
        <v>99</v>
      </c>
      <c r="AD28">
        <v>59</v>
      </c>
      <c r="AF28" s="36"/>
      <c r="AH28" t="s">
        <v>34</v>
      </c>
      <c r="AI28" t="s">
        <v>100</v>
      </c>
      <c r="AJ28" t="s">
        <v>51</v>
      </c>
      <c r="AK28" t="e">
        <f>COUNTIF(#REF!,#REF!)</f>
        <v>#REF!</v>
      </c>
      <c r="AL28" t="e">
        <f>IF(#REF!="",#REF!,IF(ISNUMBER(FIND([2]!Fives[[#This Row],[Upgraded By]],[2]!Fives[[#This Row],[Split Credit]])),[2]!Fives[[#This Row],[Split Credit]],[2]!Fives[[#This Row],[Upgraded By]]&amp;"; "&amp;[2]!Fives[[#This Row],[Split Credit]]))</f>
        <v>#REF!</v>
      </c>
    </row>
    <row r="29" spans="1:38" x14ac:dyDescent="0.5">
      <c r="A29" t="s">
        <v>101</v>
      </c>
      <c r="B29" t="s">
        <v>102</v>
      </c>
      <c r="C29" t="s">
        <v>103</v>
      </c>
      <c r="D29" s="34" t="s">
        <v>136</v>
      </c>
      <c r="E29" s="38" t="s">
        <v>64</v>
      </c>
      <c r="G29" t="s">
        <v>64</v>
      </c>
      <c r="H29" s="36">
        <v>45354</v>
      </c>
      <c r="I29" t="s">
        <v>55</v>
      </c>
      <c r="J29" t="s">
        <v>31</v>
      </c>
      <c r="K29" t="s">
        <v>32</v>
      </c>
      <c r="N29" t="s">
        <v>31</v>
      </c>
      <c r="O29" t="s">
        <v>33</v>
      </c>
      <c r="Q29">
        <v>0</v>
      </c>
      <c r="R29" s="36">
        <v>45351</v>
      </c>
      <c r="S29" t="s">
        <v>105</v>
      </c>
      <c r="T29" s="36">
        <v>45351</v>
      </c>
      <c r="U29" t="s">
        <v>59</v>
      </c>
      <c r="V29" s="37" t="s">
        <v>106</v>
      </c>
      <c r="W29" t="s">
        <v>107</v>
      </c>
      <c r="X29" t="s">
        <v>108</v>
      </c>
      <c r="Y29" t="s">
        <v>109</v>
      </c>
      <c r="Z29" t="s">
        <v>58</v>
      </c>
      <c r="AC29" t="s">
        <v>110</v>
      </c>
      <c r="AD29">
        <v>104</v>
      </c>
      <c r="AF29" s="36"/>
      <c r="AH29" t="s">
        <v>34</v>
      </c>
      <c r="AI29" t="s">
        <v>111</v>
      </c>
      <c r="AJ29" t="s">
        <v>51</v>
      </c>
      <c r="AK29" t="e">
        <f>COUNTIF(#REF!,#REF!)</f>
        <v>#REF!</v>
      </c>
      <c r="AL29" t="e">
        <f>IF(#REF!="",#REF!,IF(ISNUMBER(FIND([2]!Fives[[#This Row],[Upgraded By]],[2]!Fives[[#This Row],[Split Credit]])),[2]!Fives[[#This Row],[Split Credit]],[2]!Fives[[#This Row],[Upgraded By]]&amp;"; "&amp;[2]!Fives[[#This Row],[Split Credit]]))</f>
        <v>#REF!</v>
      </c>
    </row>
    <row r="30" spans="1:38" x14ac:dyDescent="0.5">
      <c r="A30" t="s">
        <v>60</v>
      </c>
      <c r="B30" t="s">
        <v>61</v>
      </c>
      <c r="C30" t="s">
        <v>62</v>
      </c>
      <c r="D30" s="33" t="s">
        <v>137</v>
      </c>
      <c r="E30" s="35" t="s">
        <v>64</v>
      </c>
      <c r="G30" t="s">
        <v>64</v>
      </c>
      <c r="H30" s="36">
        <v>45348</v>
      </c>
      <c r="I30" t="s">
        <v>55</v>
      </c>
      <c r="J30" t="s">
        <v>31</v>
      </c>
      <c r="K30" t="s">
        <v>32</v>
      </c>
      <c r="N30" t="s">
        <v>31</v>
      </c>
      <c r="O30" t="s">
        <v>33</v>
      </c>
      <c r="Q30">
        <v>0</v>
      </c>
      <c r="R30" s="36">
        <v>45348</v>
      </c>
      <c r="S30" t="s">
        <v>65</v>
      </c>
      <c r="T30" s="36">
        <v>45348</v>
      </c>
      <c r="U30" t="s">
        <v>66</v>
      </c>
      <c r="V30" s="37" t="s">
        <v>67</v>
      </c>
      <c r="W30" t="s">
        <v>68</v>
      </c>
      <c r="X30" t="s">
        <v>69</v>
      </c>
      <c r="Y30" t="s">
        <v>70</v>
      </c>
      <c r="Z30" t="s">
        <v>71</v>
      </c>
      <c r="AA30" t="s">
        <v>72</v>
      </c>
      <c r="AC30" t="s">
        <v>73</v>
      </c>
      <c r="AD30">
        <v>93</v>
      </c>
      <c r="AE30">
        <v>0</v>
      </c>
      <c r="AF30" s="36">
        <v>44593</v>
      </c>
      <c r="AG30">
        <v>400000</v>
      </c>
      <c r="AH30" t="s">
        <v>57</v>
      </c>
      <c r="AI30" t="s">
        <v>74</v>
      </c>
      <c r="AJ30" t="s">
        <v>51</v>
      </c>
      <c r="AK30" t="e">
        <f>COUNTIF(#REF!,#REF!)</f>
        <v>#REF!</v>
      </c>
      <c r="AL30" t="e">
        <f>IF(#REF!="",#REF!,IF(ISNUMBER(FIND([2]!Fives[[#This Row],[Upgraded By]],[2]!Fives[[#This Row],[Split Credit]])),[2]!Fives[[#This Row],[Split Credit]],[2]!Fives[[#This Row],[Upgraded By]]&amp;"; "&amp;[2]!Fives[[#This Row],[Split Credit]]))</f>
        <v>#REF!</v>
      </c>
    </row>
    <row r="31" spans="1:38" x14ac:dyDescent="0.5">
      <c r="A31" t="s">
        <v>75</v>
      </c>
      <c r="B31" t="s">
        <v>76</v>
      </c>
      <c r="C31" t="s">
        <v>77</v>
      </c>
      <c r="D31" s="34" t="s">
        <v>138</v>
      </c>
      <c r="E31" s="35" t="s">
        <v>79</v>
      </c>
      <c r="G31" t="s">
        <v>64</v>
      </c>
      <c r="H31" s="36">
        <v>45350</v>
      </c>
      <c r="I31" t="s">
        <v>49</v>
      </c>
      <c r="J31" t="s">
        <v>31</v>
      </c>
      <c r="K31" t="s">
        <v>32</v>
      </c>
      <c r="N31" t="s">
        <v>31</v>
      </c>
      <c r="O31" t="s">
        <v>33</v>
      </c>
      <c r="Q31">
        <v>0</v>
      </c>
      <c r="R31" s="36">
        <v>45350</v>
      </c>
      <c r="S31" t="s">
        <v>80</v>
      </c>
      <c r="T31" s="36">
        <v>45350</v>
      </c>
      <c r="U31" t="s">
        <v>81</v>
      </c>
      <c r="V31" s="37" t="s">
        <v>82</v>
      </c>
      <c r="W31" t="s">
        <v>83</v>
      </c>
      <c r="X31" t="s">
        <v>84</v>
      </c>
      <c r="Y31" t="s">
        <v>85</v>
      </c>
      <c r="Z31" t="s">
        <v>86</v>
      </c>
      <c r="AC31" t="s">
        <v>87</v>
      </c>
      <c r="AD31">
        <v>109</v>
      </c>
      <c r="AF31" s="36"/>
      <c r="AH31" t="s">
        <v>34</v>
      </c>
      <c r="AI31" t="s">
        <v>88</v>
      </c>
      <c r="AJ31" t="s">
        <v>51</v>
      </c>
      <c r="AK31" t="e">
        <f>COUNTIF(#REF!,#REF!)</f>
        <v>#REF!</v>
      </c>
      <c r="AL31" t="e">
        <f>IF(#REF!="",#REF!,IF(ISNUMBER(FIND([2]!Fives[[#This Row],[Upgraded By]],[2]!Fives[[#This Row],[Split Credit]])),[2]!Fives[[#This Row],[Split Credit]],[2]!Fives[[#This Row],[Upgraded By]]&amp;"; "&amp;[2]!Fives[[#This Row],[Split Credit]]))</f>
        <v>#REF!</v>
      </c>
    </row>
    <row r="32" spans="1:38" x14ac:dyDescent="0.5">
      <c r="A32" t="s">
        <v>89</v>
      </c>
      <c r="B32" t="s">
        <v>90</v>
      </c>
      <c r="C32" t="s">
        <v>91</v>
      </c>
      <c r="D32" s="33" t="s">
        <v>139</v>
      </c>
      <c r="E32" s="35" t="s">
        <v>64</v>
      </c>
      <c r="G32" t="s">
        <v>64</v>
      </c>
      <c r="H32" s="36">
        <v>45354</v>
      </c>
      <c r="I32" t="s">
        <v>49</v>
      </c>
      <c r="J32" t="s">
        <v>31</v>
      </c>
      <c r="K32" t="s">
        <v>32</v>
      </c>
      <c r="N32" t="s">
        <v>31</v>
      </c>
      <c r="O32" t="s">
        <v>33</v>
      </c>
      <c r="Q32">
        <v>0</v>
      </c>
      <c r="R32" s="36">
        <v>45352</v>
      </c>
      <c r="S32" t="s">
        <v>93</v>
      </c>
      <c r="T32" s="36">
        <v>45352</v>
      </c>
      <c r="U32" t="s">
        <v>94</v>
      </c>
      <c r="V32" s="37" t="s">
        <v>95</v>
      </c>
      <c r="W32" t="s">
        <v>96</v>
      </c>
      <c r="X32" t="s">
        <v>97</v>
      </c>
      <c r="Y32" t="s">
        <v>98</v>
      </c>
      <c r="Z32" t="s">
        <v>56</v>
      </c>
      <c r="AC32" t="s">
        <v>99</v>
      </c>
      <c r="AD32">
        <v>59</v>
      </c>
      <c r="AF32" s="36"/>
      <c r="AH32" t="s">
        <v>34</v>
      </c>
      <c r="AI32" t="s">
        <v>100</v>
      </c>
      <c r="AJ32" t="s">
        <v>51</v>
      </c>
      <c r="AK32" t="e">
        <f>COUNTIF(#REF!,#REF!)</f>
        <v>#REF!</v>
      </c>
      <c r="AL32" t="e">
        <f>IF(#REF!="",#REF!,IF(ISNUMBER(FIND([2]!Fives[[#This Row],[Upgraded By]],[2]!Fives[[#This Row],[Split Credit]])),[2]!Fives[[#This Row],[Split Credit]],[2]!Fives[[#This Row],[Upgraded By]]&amp;"; "&amp;[2]!Fives[[#This Row],[Split Credit]]))</f>
        <v>#REF!</v>
      </c>
    </row>
    <row r="33" spans="1:38" x14ac:dyDescent="0.5">
      <c r="A33" t="s">
        <v>101</v>
      </c>
      <c r="B33" t="s">
        <v>102</v>
      </c>
      <c r="C33" t="s">
        <v>103</v>
      </c>
      <c r="D33" s="34" t="s">
        <v>140</v>
      </c>
      <c r="E33" s="38" t="s">
        <v>64</v>
      </c>
      <c r="G33" t="s">
        <v>64</v>
      </c>
      <c r="H33" s="36">
        <v>45354</v>
      </c>
      <c r="I33" t="s">
        <v>55</v>
      </c>
      <c r="J33" t="s">
        <v>31</v>
      </c>
      <c r="K33" t="s">
        <v>32</v>
      </c>
      <c r="N33" t="s">
        <v>31</v>
      </c>
      <c r="O33" t="s">
        <v>33</v>
      </c>
      <c r="Q33">
        <v>0</v>
      </c>
      <c r="R33" s="36">
        <v>45351</v>
      </c>
      <c r="S33" t="s">
        <v>105</v>
      </c>
      <c r="T33" s="36">
        <v>45351</v>
      </c>
      <c r="U33" t="s">
        <v>59</v>
      </c>
      <c r="V33" s="37" t="s">
        <v>106</v>
      </c>
      <c r="W33" t="s">
        <v>107</v>
      </c>
      <c r="X33" t="s">
        <v>108</v>
      </c>
      <c r="Y33" t="s">
        <v>109</v>
      </c>
      <c r="Z33" t="s">
        <v>58</v>
      </c>
      <c r="AC33" t="s">
        <v>110</v>
      </c>
      <c r="AD33">
        <v>104</v>
      </c>
      <c r="AF33" s="36"/>
      <c r="AH33" t="s">
        <v>34</v>
      </c>
      <c r="AI33" t="s">
        <v>111</v>
      </c>
      <c r="AJ33" t="s">
        <v>51</v>
      </c>
      <c r="AK33" t="e">
        <f>COUNTIF(#REF!,#REF!)</f>
        <v>#REF!</v>
      </c>
      <c r="AL33" t="e">
        <f>IF(#REF!="",#REF!,IF(ISNUMBER(FIND([2]!Fives[[#This Row],[Upgraded By]],[2]!Fives[[#This Row],[Split Credit]])),[2]!Fives[[#This Row],[Split Credit]],[2]!Fives[[#This Row],[Upgraded By]]&amp;"; "&amp;[2]!Fives[[#This Row],[Split Credit]]))</f>
        <v>#REF!</v>
      </c>
    </row>
    <row r="34" spans="1:38" x14ac:dyDescent="0.5">
      <c r="A34" t="s">
        <v>60</v>
      </c>
      <c r="B34" t="s">
        <v>61</v>
      </c>
      <c r="C34" t="s">
        <v>62</v>
      </c>
      <c r="D34" s="34" t="s">
        <v>141</v>
      </c>
      <c r="E34" s="35" t="s">
        <v>64</v>
      </c>
      <c r="G34" t="s">
        <v>64</v>
      </c>
      <c r="H34" s="31">
        <v>45348</v>
      </c>
      <c r="I34" t="s">
        <v>55</v>
      </c>
      <c r="J34" t="s">
        <v>31</v>
      </c>
      <c r="K34" t="s">
        <v>32</v>
      </c>
      <c r="N34" t="s">
        <v>31</v>
      </c>
      <c r="O34" t="s">
        <v>33</v>
      </c>
      <c r="Q34">
        <v>0</v>
      </c>
      <c r="R34" s="31">
        <v>45348</v>
      </c>
      <c r="S34" t="s">
        <v>65</v>
      </c>
      <c r="T34" s="31">
        <v>45348</v>
      </c>
      <c r="U34" t="s">
        <v>66</v>
      </c>
      <c r="V34" s="37" t="s">
        <v>67</v>
      </c>
      <c r="W34" t="s">
        <v>68</v>
      </c>
      <c r="X34" t="s">
        <v>69</v>
      </c>
      <c r="Y34" t="s">
        <v>70</v>
      </c>
      <c r="Z34" t="s">
        <v>71</v>
      </c>
      <c r="AA34" t="s">
        <v>72</v>
      </c>
      <c r="AC34" t="s">
        <v>73</v>
      </c>
      <c r="AD34">
        <v>93</v>
      </c>
      <c r="AE34">
        <v>0</v>
      </c>
      <c r="AF34" s="36">
        <v>44593</v>
      </c>
      <c r="AG34">
        <v>400000</v>
      </c>
      <c r="AH34" t="s">
        <v>57</v>
      </c>
      <c r="AI34" t="s">
        <v>74</v>
      </c>
      <c r="AJ34" t="s">
        <v>51</v>
      </c>
      <c r="AK34" t="e">
        <f>COUNTIF(#REF!,#REF!)</f>
        <v>#REF!</v>
      </c>
      <c r="AL34" t="e">
        <f>IF(#REF!="",#REF!,IF(ISNUMBER(FIND([2]!Fives[[#This Row],[Upgraded By]],[2]!Fives[[#This Row],[Split Credit]])),[2]!Fives[[#This Row],[Split Credit]],[2]!Fives[[#This Row],[Upgraded By]]&amp;"; "&amp;[2]!Fives[[#This Row],[Split Credit]]))</f>
        <v>#REF!</v>
      </c>
    </row>
    <row r="35" spans="1:38" x14ac:dyDescent="0.5">
      <c r="A35" t="s">
        <v>75</v>
      </c>
      <c r="B35" t="s">
        <v>76</v>
      </c>
      <c r="C35" t="s">
        <v>77</v>
      </c>
      <c r="D35" s="34" t="s">
        <v>142</v>
      </c>
      <c r="E35" s="35" t="s">
        <v>79</v>
      </c>
      <c r="G35" t="s">
        <v>64</v>
      </c>
      <c r="H35" s="31">
        <v>45350</v>
      </c>
      <c r="I35" t="s">
        <v>49</v>
      </c>
      <c r="J35" t="s">
        <v>31</v>
      </c>
      <c r="K35" t="s">
        <v>32</v>
      </c>
      <c r="N35" t="s">
        <v>31</v>
      </c>
      <c r="O35" t="s">
        <v>33</v>
      </c>
      <c r="Q35">
        <v>0</v>
      </c>
      <c r="R35" s="31">
        <v>45350</v>
      </c>
      <c r="S35" t="s">
        <v>80</v>
      </c>
      <c r="T35" s="31">
        <v>45350</v>
      </c>
      <c r="U35" t="s">
        <v>81</v>
      </c>
      <c r="V35" s="37" t="s">
        <v>82</v>
      </c>
      <c r="W35" t="s">
        <v>83</v>
      </c>
      <c r="X35" t="s">
        <v>84</v>
      </c>
      <c r="Y35" t="s">
        <v>85</v>
      </c>
      <c r="Z35" t="s">
        <v>86</v>
      </c>
      <c r="AC35" t="s">
        <v>87</v>
      </c>
      <c r="AD35">
        <v>109</v>
      </c>
      <c r="AF35" s="36"/>
      <c r="AH35" t="s">
        <v>34</v>
      </c>
      <c r="AI35" t="s">
        <v>88</v>
      </c>
      <c r="AJ35" t="s">
        <v>51</v>
      </c>
      <c r="AK35" t="e">
        <f>COUNTIF(#REF!,#REF!)</f>
        <v>#REF!</v>
      </c>
      <c r="AL35" t="e">
        <f>IF(#REF!="",#REF!,IF(ISNUMBER(FIND([2]!Fives[[#This Row],[Upgraded By]],[2]!Fives[[#This Row],[Split Credit]])),[2]!Fives[[#This Row],[Split Credit]],[2]!Fives[[#This Row],[Upgraded By]]&amp;"; "&amp;[2]!Fives[[#This Row],[Split Credit]]))</f>
        <v>#REF!</v>
      </c>
    </row>
    <row r="36" spans="1:38" x14ac:dyDescent="0.5">
      <c r="A36" t="s">
        <v>89</v>
      </c>
      <c r="B36" t="s">
        <v>90</v>
      </c>
      <c r="C36" t="s">
        <v>91</v>
      </c>
      <c r="D36" s="34" t="s">
        <v>143</v>
      </c>
      <c r="E36" s="35" t="s">
        <v>64</v>
      </c>
      <c r="G36" t="s">
        <v>64</v>
      </c>
      <c r="H36" s="31">
        <v>45354</v>
      </c>
      <c r="I36" t="s">
        <v>49</v>
      </c>
      <c r="J36" t="s">
        <v>31</v>
      </c>
      <c r="K36" t="s">
        <v>32</v>
      </c>
      <c r="N36" t="s">
        <v>31</v>
      </c>
      <c r="O36" t="s">
        <v>33</v>
      </c>
      <c r="Q36">
        <v>0</v>
      </c>
      <c r="R36" s="31">
        <v>45352</v>
      </c>
      <c r="S36" t="s">
        <v>93</v>
      </c>
      <c r="T36" s="31">
        <v>45352</v>
      </c>
      <c r="U36" t="s">
        <v>94</v>
      </c>
      <c r="V36" s="37" t="s">
        <v>95</v>
      </c>
      <c r="W36" t="s">
        <v>96</v>
      </c>
      <c r="X36" t="s">
        <v>97</v>
      </c>
      <c r="Y36" t="s">
        <v>98</v>
      </c>
      <c r="Z36" t="s">
        <v>56</v>
      </c>
      <c r="AC36" t="s">
        <v>99</v>
      </c>
      <c r="AD36">
        <v>59</v>
      </c>
      <c r="AF36" s="36"/>
      <c r="AH36" t="s">
        <v>34</v>
      </c>
      <c r="AI36" t="s">
        <v>100</v>
      </c>
      <c r="AJ36" t="s">
        <v>51</v>
      </c>
      <c r="AK36" t="e">
        <f>COUNTIF(#REF!,#REF!)</f>
        <v>#REF!</v>
      </c>
      <c r="AL36" t="e">
        <f>IF(#REF!="",#REF!,IF(ISNUMBER(FIND([2]!Fives[[#This Row],[Upgraded By]],[2]!Fives[[#This Row],[Split Credit]])),[2]!Fives[[#This Row],[Split Credit]],[2]!Fives[[#This Row],[Upgraded By]]&amp;"; "&amp;[2]!Fives[[#This Row],[Split Credit]]))</f>
        <v>#REF!</v>
      </c>
    </row>
    <row r="37" spans="1:38" x14ac:dyDescent="0.5">
      <c r="A37" t="s">
        <v>101</v>
      </c>
      <c r="B37" t="s">
        <v>102</v>
      </c>
      <c r="C37" t="s">
        <v>103</v>
      </c>
      <c r="D37" s="34" t="s">
        <v>144</v>
      </c>
      <c r="E37" s="35" t="s">
        <v>64</v>
      </c>
      <c r="G37" t="s">
        <v>64</v>
      </c>
      <c r="H37" s="31">
        <v>45354</v>
      </c>
      <c r="I37" t="s">
        <v>55</v>
      </c>
      <c r="J37" t="s">
        <v>31</v>
      </c>
      <c r="K37" t="s">
        <v>32</v>
      </c>
      <c r="N37" t="s">
        <v>31</v>
      </c>
      <c r="O37" t="s">
        <v>33</v>
      </c>
      <c r="Q37">
        <v>0</v>
      </c>
      <c r="R37" s="31">
        <v>45351</v>
      </c>
      <c r="S37" t="s">
        <v>105</v>
      </c>
      <c r="T37" s="31">
        <v>45351</v>
      </c>
      <c r="U37" t="s">
        <v>59</v>
      </c>
      <c r="V37" s="37" t="s">
        <v>106</v>
      </c>
      <c r="W37" t="s">
        <v>107</v>
      </c>
      <c r="X37" t="s">
        <v>108</v>
      </c>
      <c r="Y37" t="s">
        <v>109</v>
      </c>
      <c r="Z37" t="s">
        <v>58</v>
      </c>
      <c r="AC37" t="s">
        <v>110</v>
      </c>
      <c r="AD37">
        <v>104</v>
      </c>
      <c r="AF37" s="36"/>
      <c r="AH37" t="s">
        <v>34</v>
      </c>
      <c r="AI37" t="s">
        <v>111</v>
      </c>
      <c r="AJ37" t="s">
        <v>51</v>
      </c>
      <c r="AK37" t="e">
        <f>COUNTIF(#REF!,#REF!)</f>
        <v>#REF!</v>
      </c>
      <c r="AL37" t="e">
        <f>IF(#REF!="",#REF!,IF(ISNUMBER(FIND([2]!Fives[[#This Row],[Upgraded By]],[2]!Fives[[#This Row],[Split Credit]])),[2]!Fives[[#This Row],[Split Credit]],[2]!Fives[[#This Row],[Upgraded By]]&amp;"; "&amp;[2]!Fives[[#This Row],[Split Credit]]))</f>
        <v>#REF!</v>
      </c>
    </row>
    <row r="38" spans="1:38" x14ac:dyDescent="0.5">
      <c r="A38" t="s">
        <v>60</v>
      </c>
      <c r="B38" t="s">
        <v>61</v>
      </c>
      <c r="C38" t="s">
        <v>62</v>
      </c>
      <c r="D38" s="34" t="s">
        <v>145</v>
      </c>
      <c r="E38" s="35" t="s">
        <v>64</v>
      </c>
      <c r="G38" t="s">
        <v>64</v>
      </c>
      <c r="H38" s="31">
        <v>45348</v>
      </c>
      <c r="I38" t="s">
        <v>55</v>
      </c>
      <c r="J38" t="s">
        <v>31</v>
      </c>
      <c r="K38" t="s">
        <v>32</v>
      </c>
      <c r="N38" t="s">
        <v>31</v>
      </c>
      <c r="O38" t="s">
        <v>33</v>
      </c>
      <c r="Q38">
        <v>0</v>
      </c>
      <c r="R38" s="31">
        <v>45348</v>
      </c>
      <c r="S38" t="s">
        <v>65</v>
      </c>
      <c r="T38" s="31">
        <v>45348</v>
      </c>
      <c r="U38" t="s">
        <v>66</v>
      </c>
      <c r="V38" s="37" t="s">
        <v>67</v>
      </c>
      <c r="W38" t="s">
        <v>68</v>
      </c>
      <c r="X38" t="s">
        <v>69</v>
      </c>
      <c r="Y38" t="s">
        <v>70</v>
      </c>
      <c r="Z38" t="s">
        <v>71</v>
      </c>
      <c r="AA38" t="s">
        <v>72</v>
      </c>
      <c r="AC38" t="s">
        <v>73</v>
      </c>
      <c r="AD38">
        <v>93</v>
      </c>
      <c r="AE38">
        <v>0</v>
      </c>
      <c r="AF38" s="36">
        <v>44593</v>
      </c>
      <c r="AG38">
        <v>400000</v>
      </c>
      <c r="AH38" t="s">
        <v>57</v>
      </c>
      <c r="AI38" t="s">
        <v>74</v>
      </c>
      <c r="AJ38" t="s">
        <v>51</v>
      </c>
      <c r="AK38" t="e">
        <f>COUNTIF(#REF!,#REF!)</f>
        <v>#REF!</v>
      </c>
      <c r="AL38" t="e">
        <f>IF(#REF!="",#REF!,IF(ISNUMBER(FIND([2]!Fives[[#This Row],[Upgraded By]],[2]!Fives[[#This Row],[Split Credit]])),[2]!Fives[[#This Row],[Split Credit]],[2]!Fives[[#This Row],[Upgraded By]]&amp;"; "&amp;[2]!Fives[[#This Row],[Split Credit]]))</f>
        <v>#REF!</v>
      </c>
    </row>
    <row r="39" spans="1:38" x14ac:dyDescent="0.5">
      <c r="A39" t="s">
        <v>75</v>
      </c>
      <c r="B39" t="s">
        <v>76</v>
      </c>
      <c r="C39" t="s">
        <v>77</v>
      </c>
      <c r="D39" s="34" t="s">
        <v>146</v>
      </c>
      <c r="E39" s="35" t="s">
        <v>79</v>
      </c>
      <c r="G39" t="s">
        <v>64</v>
      </c>
      <c r="H39" s="31">
        <v>45350</v>
      </c>
      <c r="I39" t="s">
        <v>49</v>
      </c>
      <c r="J39" t="s">
        <v>31</v>
      </c>
      <c r="K39" t="s">
        <v>32</v>
      </c>
      <c r="N39" t="s">
        <v>31</v>
      </c>
      <c r="O39" t="s">
        <v>33</v>
      </c>
      <c r="Q39">
        <v>0</v>
      </c>
      <c r="R39" s="31">
        <v>45350</v>
      </c>
      <c r="S39" t="s">
        <v>80</v>
      </c>
      <c r="T39" s="31">
        <v>45350</v>
      </c>
      <c r="U39" t="s">
        <v>81</v>
      </c>
      <c r="V39" s="37" t="s">
        <v>82</v>
      </c>
      <c r="W39" t="s">
        <v>83</v>
      </c>
      <c r="X39" t="s">
        <v>84</v>
      </c>
      <c r="Y39" t="s">
        <v>85</v>
      </c>
      <c r="Z39" t="s">
        <v>86</v>
      </c>
      <c r="AC39" t="s">
        <v>87</v>
      </c>
      <c r="AD39">
        <v>109</v>
      </c>
      <c r="AF39" s="36"/>
      <c r="AH39" t="s">
        <v>34</v>
      </c>
      <c r="AI39" t="s">
        <v>88</v>
      </c>
      <c r="AJ39" t="s">
        <v>51</v>
      </c>
      <c r="AK39" t="e">
        <f>COUNTIF(#REF!,#REF!)</f>
        <v>#REF!</v>
      </c>
      <c r="AL39" t="e">
        <f>IF(#REF!="",#REF!,IF(ISNUMBER(FIND([2]!Fives[[#This Row],[Upgraded By]],[2]!Fives[[#This Row],[Split Credit]])),[2]!Fives[[#This Row],[Split Credit]],[2]!Fives[[#This Row],[Upgraded By]]&amp;"; "&amp;[2]!Fives[[#This Row],[Split Credit]]))</f>
        <v>#REF!</v>
      </c>
    </row>
    <row r="40" spans="1:38" x14ac:dyDescent="0.5">
      <c r="A40" t="s">
        <v>89</v>
      </c>
      <c r="B40" t="s">
        <v>90</v>
      </c>
      <c r="C40" t="s">
        <v>91</v>
      </c>
      <c r="D40" s="34" t="s">
        <v>147</v>
      </c>
      <c r="E40" s="35" t="s">
        <v>64</v>
      </c>
      <c r="G40" t="s">
        <v>64</v>
      </c>
      <c r="H40" s="31">
        <v>45354</v>
      </c>
      <c r="I40" t="s">
        <v>49</v>
      </c>
      <c r="J40" t="s">
        <v>31</v>
      </c>
      <c r="K40" t="s">
        <v>32</v>
      </c>
      <c r="N40" t="s">
        <v>31</v>
      </c>
      <c r="O40" t="s">
        <v>33</v>
      </c>
      <c r="Q40">
        <v>0</v>
      </c>
      <c r="R40" s="31">
        <v>45352</v>
      </c>
      <c r="S40" t="s">
        <v>93</v>
      </c>
      <c r="T40" s="31">
        <v>45352</v>
      </c>
      <c r="U40" t="s">
        <v>94</v>
      </c>
      <c r="V40" s="37" t="s">
        <v>95</v>
      </c>
      <c r="W40" t="s">
        <v>96</v>
      </c>
      <c r="X40" t="s">
        <v>97</v>
      </c>
      <c r="Y40" t="s">
        <v>98</v>
      </c>
      <c r="Z40" t="s">
        <v>56</v>
      </c>
      <c r="AC40" t="s">
        <v>99</v>
      </c>
      <c r="AD40">
        <v>59</v>
      </c>
      <c r="AF40" s="36"/>
      <c r="AH40" t="s">
        <v>34</v>
      </c>
      <c r="AI40" t="s">
        <v>100</v>
      </c>
      <c r="AJ40" t="s">
        <v>51</v>
      </c>
      <c r="AK40" t="e">
        <f>COUNTIF(#REF!,#REF!)</f>
        <v>#REF!</v>
      </c>
      <c r="AL40" t="e">
        <f>IF(#REF!="",#REF!,IF(ISNUMBER(FIND([2]!Fives[[#This Row],[Upgraded By]],[2]!Fives[[#This Row],[Split Credit]])),[2]!Fives[[#This Row],[Split Credit]],[2]!Fives[[#This Row],[Upgraded By]]&amp;"; "&amp;[2]!Fives[[#This Row],[Split Credit]]))</f>
        <v>#REF!</v>
      </c>
    </row>
    <row r="41" spans="1:38" x14ac:dyDescent="0.5">
      <c r="A41" t="s">
        <v>101</v>
      </c>
      <c r="B41" t="s">
        <v>102</v>
      </c>
      <c r="C41" t="s">
        <v>103</v>
      </c>
      <c r="D41" s="34" t="s">
        <v>148</v>
      </c>
      <c r="E41" s="35" t="s">
        <v>64</v>
      </c>
      <c r="G41" t="s">
        <v>64</v>
      </c>
      <c r="H41" s="31">
        <v>45354</v>
      </c>
      <c r="I41" t="s">
        <v>55</v>
      </c>
      <c r="J41" t="s">
        <v>31</v>
      </c>
      <c r="K41" t="s">
        <v>32</v>
      </c>
      <c r="N41" t="s">
        <v>31</v>
      </c>
      <c r="O41" t="s">
        <v>33</v>
      </c>
      <c r="Q41">
        <v>0</v>
      </c>
      <c r="R41" s="31">
        <v>45351</v>
      </c>
      <c r="S41" t="s">
        <v>105</v>
      </c>
      <c r="T41" s="31">
        <v>45351</v>
      </c>
      <c r="U41" t="s">
        <v>59</v>
      </c>
      <c r="V41" s="37" t="s">
        <v>106</v>
      </c>
      <c r="W41" t="s">
        <v>107</v>
      </c>
      <c r="X41" t="s">
        <v>108</v>
      </c>
      <c r="Y41" t="s">
        <v>109</v>
      </c>
      <c r="Z41" t="s">
        <v>58</v>
      </c>
      <c r="AC41" t="s">
        <v>110</v>
      </c>
      <c r="AD41">
        <v>104</v>
      </c>
      <c r="AF41" s="36"/>
      <c r="AH41" t="s">
        <v>34</v>
      </c>
      <c r="AI41" t="s">
        <v>111</v>
      </c>
      <c r="AJ41" t="s">
        <v>51</v>
      </c>
      <c r="AK41" t="e">
        <f>COUNTIF(#REF!,#REF!)</f>
        <v>#REF!</v>
      </c>
      <c r="AL41" t="e">
        <f>IF(#REF!="",#REF!,IF(ISNUMBER(FIND([2]!Fives[[#This Row],[Upgraded By]],[2]!Fives[[#This Row],[Split Credit]])),[2]!Fives[[#This Row],[Split Credit]],[2]!Fives[[#This Row],[Upgraded By]]&amp;"; "&amp;[2]!Fives[[#This Row],[Split Credit]]))</f>
        <v>#REF!</v>
      </c>
    </row>
    <row r="42" spans="1:38" x14ac:dyDescent="0.5">
      <c r="A42" t="s">
        <v>60</v>
      </c>
      <c r="B42" t="s">
        <v>61</v>
      </c>
      <c r="C42" t="s">
        <v>62</v>
      </c>
      <c r="D42" s="34" t="s">
        <v>149</v>
      </c>
      <c r="E42" s="35" t="s">
        <v>64</v>
      </c>
      <c r="G42" t="s">
        <v>64</v>
      </c>
      <c r="H42" s="31">
        <v>45348</v>
      </c>
      <c r="I42" t="s">
        <v>55</v>
      </c>
      <c r="J42" t="s">
        <v>31</v>
      </c>
      <c r="K42" t="s">
        <v>32</v>
      </c>
      <c r="N42" t="s">
        <v>31</v>
      </c>
      <c r="O42" t="s">
        <v>33</v>
      </c>
      <c r="Q42">
        <v>0</v>
      </c>
      <c r="R42" s="31">
        <v>45348</v>
      </c>
      <c r="S42" t="s">
        <v>65</v>
      </c>
      <c r="T42" s="31">
        <v>45348</v>
      </c>
      <c r="U42" t="s">
        <v>66</v>
      </c>
      <c r="V42" s="37" t="s">
        <v>67</v>
      </c>
      <c r="W42" t="s">
        <v>68</v>
      </c>
      <c r="X42" t="s">
        <v>69</v>
      </c>
      <c r="Y42" t="s">
        <v>70</v>
      </c>
      <c r="Z42" t="s">
        <v>71</v>
      </c>
      <c r="AA42" t="s">
        <v>72</v>
      </c>
      <c r="AC42" t="s">
        <v>73</v>
      </c>
      <c r="AD42">
        <v>93</v>
      </c>
      <c r="AE42">
        <v>0</v>
      </c>
      <c r="AF42" s="36">
        <v>44593</v>
      </c>
      <c r="AG42">
        <v>400000</v>
      </c>
      <c r="AH42" t="s">
        <v>57</v>
      </c>
      <c r="AI42" t="s">
        <v>74</v>
      </c>
      <c r="AJ42" t="s">
        <v>51</v>
      </c>
      <c r="AK42" t="e">
        <f>COUNTIF(#REF!,#REF!)</f>
        <v>#REF!</v>
      </c>
      <c r="AL42" t="e">
        <f>IF(#REF!="",#REF!,IF(ISNUMBER(FIND([2]!Fives[[#This Row],[Upgraded By]],[2]!Fives[[#This Row],[Split Credit]])),[2]!Fives[[#This Row],[Split Credit]],[2]!Fives[[#This Row],[Upgraded By]]&amp;"; "&amp;[2]!Fives[[#This Row],[Split Credit]]))</f>
        <v>#REF!</v>
      </c>
    </row>
    <row r="43" spans="1:38" x14ac:dyDescent="0.5">
      <c r="A43" t="s">
        <v>75</v>
      </c>
      <c r="B43" t="s">
        <v>76</v>
      </c>
      <c r="C43" t="s">
        <v>77</v>
      </c>
      <c r="D43" s="34" t="s">
        <v>150</v>
      </c>
      <c r="E43" s="35" t="s">
        <v>79</v>
      </c>
      <c r="G43" t="s">
        <v>64</v>
      </c>
      <c r="H43" s="31">
        <v>45350</v>
      </c>
      <c r="I43" t="s">
        <v>49</v>
      </c>
      <c r="J43" t="s">
        <v>31</v>
      </c>
      <c r="K43" t="s">
        <v>32</v>
      </c>
      <c r="N43" t="s">
        <v>31</v>
      </c>
      <c r="O43" t="s">
        <v>33</v>
      </c>
      <c r="Q43">
        <v>0</v>
      </c>
      <c r="R43" s="31">
        <v>45350</v>
      </c>
      <c r="S43" t="s">
        <v>80</v>
      </c>
      <c r="T43" s="31">
        <v>45350</v>
      </c>
      <c r="U43" t="s">
        <v>81</v>
      </c>
      <c r="V43" s="37" t="s">
        <v>82</v>
      </c>
      <c r="W43" t="s">
        <v>83</v>
      </c>
      <c r="X43" t="s">
        <v>84</v>
      </c>
      <c r="Y43" t="s">
        <v>85</v>
      </c>
      <c r="Z43" t="s">
        <v>86</v>
      </c>
      <c r="AC43" t="s">
        <v>87</v>
      </c>
      <c r="AD43">
        <v>109</v>
      </c>
      <c r="AF43" s="36"/>
      <c r="AH43" t="s">
        <v>34</v>
      </c>
      <c r="AI43" t="s">
        <v>88</v>
      </c>
      <c r="AJ43" t="s">
        <v>51</v>
      </c>
      <c r="AK43" t="e">
        <f>COUNTIF(#REF!,#REF!)</f>
        <v>#REF!</v>
      </c>
      <c r="AL43" t="e">
        <f>IF(#REF!="",#REF!,IF(ISNUMBER(FIND([2]!Fives[[#This Row],[Upgraded By]],[2]!Fives[[#This Row],[Split Credit]])),[2]!Fives[[#This Row],[Split Credit]],[2]!Fives[[#This Row],[Upgraded By]]&amp;"; "&amp;[2]!Fives[[#This Row],[Split Credit]]))</f>
        <v>#REF!</v>
      </c>
    </row>
    <row r="44" spans="1:38" x14ac:dyDescent="0.5">
      <c r="A44" t="s">
        <v>89</v>
      </c>
      <c r="B44" t="s">
        <v>90</v>
      </c>
      <c r="C44" t="s">
        <v>91</v>
      </c>
      <c r="D44" s="34" t="s">
        <v>151</v>
      </c>
      <c r="E44" s="35" t="s">
        <v>64</v>
      </c>
      <c r="G44" t="s">
        <v>64</v>
      </c>
      <c r="H44" s="31">
        <v>45354</v>
      </c>
      <c r="I44" t="s">
        <v>49</v>
      </c>
      <c r="J44" t="s">
        <v>31</v>
      </c>
      <c r="K44" t="s">
        <v>32</v>
      </c>
      <c r="N44" t="s">
        <v>31</v>
      </c>
      <c r="O44" t="s">
        <v>33</v>
      </c>
      <c r="Q44">
        <v>0</v>
      </c>
      <c r="R44" s="31">
        <v>45352</v>
      </c>
      <c r="S44" t="s">
        <v>93</v>
      </c>
      <c r="T44" s="31">
        <v>45352</v>
      </c>
      <c r="U44" t="s">
        <v>94</v>
      </c>
      <c r="V44" s="37" t="s">
        <v>95</v>
      </c>
      <c r="W44" t="s">
        <v>96</v>
      </c>
      <c r="X44" t="s">
        <v>97</v>
      </c>
      <c r="Y44" t="s">
        <v>98</v>
      </c>
      <c r="Z44" t="s">
        <v>56</v>
      </c>
      <c r="AC44" t="s">
        <v>99</v>
      </c>
      <c r="AD44">
        <v>59</v>
      </c>
      <c r="AF44" s="36"/>
      <c r="AH44" t="s">
        <v>34</v>
      </c>
      <c r="AI44" t="s">
        <v>100</v>
      </c>
      <c r="AJ44" t="s">
        <v>51</v>
      </c>
      <c r="AK44" t="e">
        <f>COUNTIF(#REF!,#REF!)</f>
        <v>#REF!</v>
      </c>
      <c r="AL44" t="e">
        <f>IF(#REF!="",#REF!,IF(ISNUMBER(FIND([2]!Fives[[#This Row],[Upgraded By]],[2]!Fives[[#This Row],[Split Credit]])),[2]!Fives[[#This Row],[Split Credit]],[2]!Fives[[#This Row],[Upgraded By]]&amp;"; "&amp;[2]!Fives[[#This Row],[Split Credit]]))</f>
        <v>#REF!</v>
      </c>
    </row>
    <row r="45" spans="1:38" x14ac:dyDescent="0.5">
      <c r="A45" t="s">
        <v>101</v>
      </c>
      <c r="B45" t="s">
        <v>102</v>
      </c>
      <c r="C45" t="s">
        <v>103</v>
      </c>
      <c r="D45" s="39" t="s">
        <v>152</v>
      </c>
      <c r="E45" s="38" t="s">
        <v>64</v>
      </c>
      <c r="G45" t="s">
        <v>64</v>
      </c>
      <c r="H45" s="31">
        <v>45354</v>
      </c>
      <c r="I45" t="s">
        <v>55</v>
      </c>
      <c r="J45" t="s">
        <v>31</v>
      </c>
      <c r="K45" t="s">
        <v>32</v>
      </c>
      <c r="N45" t="s">
        <v>31</v>
      </c>
      <c r="O45" t="s">
        <v>33</v>
      </c>
      <c r="Q45">
        <v>0</v>
      </c>
      <c r="R45" s="31">
        <v>45351</v>
      </c>
      <c r="S45" t="s">
        <v>105</v>
      </c>
      <c r="T45" s="31">
        <v>45351</v>
      </c>
      <c r="U45" t="s">
        <v>59</v>
      </c>
      <c r="V45" s="37" t="s">
        <v>106</v>
      </c>
      <c r="W45" t="s">
        <v>107</v>
      </c>
      <c r="X45" t="s">
        <v>108</v>
      </c>
      <c r="Y45" t="s">
        <v>109</v>
      </c>
      <c r="Z45" t="s">
        <v>58</v>
      </c>
      <c r="AC45" t="s">
        <v>110</v>
      </c>
      <c r="AD45">
        <v>104</v>
      </c>
      <c r="AF45" s="36"/>
      <c r="AH45" t="s">
        <v>34</v>
      </c>
      <c r="AI45" t="s">
        <v>111</v>
      </c>
      <c r="AJ45" t="s">
        <v>51</v>
      </c>
      <c r="AK45" t="e">
        <f>COUNTIF(#REF!,#REF!)</f>
        <v>#REF!</v>
      </c>
      <c r="AL4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Cover</vt:lpstr>
      <vt:lpstr>Main</vt:lpstr>
      <vt:lpstr>Data</vt:lpstr>
      <vt:lpstr>Data2</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2024-04-19T17:34:49Z</dcterms:modified>
</cp:coreProperties>
</file>