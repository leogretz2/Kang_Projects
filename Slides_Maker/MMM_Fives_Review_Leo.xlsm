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leogr\OneDrive\Documents\Sagemount\Slides_Maker\"/>
    </mc:Choice>
  </mc:AlternateContent>
  <xr:revisionPtr revIDLastSave="0" documentId="13_ncr:1_{0AB0EC42-3E38-472F-BC33-483CE487CDFE}" xr6:coauthVersionLast="47" xr6:coauthVersionMax="47" xr10:uidLastSave="{00000000-0000-0000-0000-000000000000}"/>
  <bookViews>
    <workbookView xWindow="-90" yWindow="-90" windowWidth="19380" windowHeight="10260" xr2:uid="{00000000-000D-0000-FFFF-FFFF00000000}"/>
  </bookViews>
  <sheets>
    <sheet name="Cover" sheetId="4" r:id="rId1"/>
    <sheet name="Delaget" sheetId="498" r:id="rId2"/>
    <sheet name="Main" sheetId="3" r:id="rId3"/>
    <sheet name="Data" sheetId="1" r:id="rId4"/>
    <sheet name="Sheet390" sheetId="449" r:id="rId5"/>
  </sheets>
  <functionGroups builtInGroupCount="19"/>
  <definedNames>
    <definedName name="CIQWBGuid" hidden="1">"25295fb0-50ac-4404-a9d3-b1d6b5fb4d4b"</definedName>
    <definedName name="COMPANY_NAME">#REF!</definedName>
    <definedName name="CURRENCY">#REF!</definedName>
    <definedName name="DISPLAY_UNITS">#REF!</definedName>
    <definedName name="FISCAL_YEAR">#REF!</definedName>
    <definedName name="FISCAL_YEAR_END">#REF!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43679.8080902778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L3M_CURRENT_END">#REF!</definedName>
    <definedName name="L3M_PREV_END">#REF!</definedName>
    <definedName name="L3M_PREVYR_END">#REF!</definedName>
    <definedName name="L6M_CURRENT_END">#REF!</definedName>
    <definedName name="L6M_PREV_END">#REF!</definedName>
    <definedName name="L6M_PREVYR_END">#REF!</definedName>
    <definedName name="LTM_CURRENT_END">#REF!</definedName>
    <definedName name="LTM_PREV_END">#REF!</definedName>
    <definedName name="MONTH_CURRENT">#REF!</definedName>
    <definedName name="MONTH_CURRENT_END">#REF!</definedName>
    <definedName name="MONTH_PREV_END">#REF!</definedName>
    <definedName name="MONTH_PREVYR_END">#REF!</definedName>
    <definedName name="_xlnm.Print_Area" localSheetId="0">Cover!$B$2:$D$12</definedName>
    <definedName name="QTR_CURRENT_BEG">#REF!</definedName>
    <definedName name="QTR_CURRENT_END">#REF!</definedName>
    <definedName name="QTR_PREV_END">#REF!</definedName>
    <definedName name="QTR_PREVYR_END">#REF!</definedName>
    <definedName name="YEAR_CURRENT_BEG">#REF!</definedName>
    <definedName name="YEAR_CURRENT_END">#REF!</definedName>
    <definedName name="YEAR_PREV_END">#REF!</definedName>
    <definedName name="YTD_CURRENT_BEG">#REF!</definedName>
    <definedName name="YTD_CURRENT_EN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498" l="1"/>
  <c r="M1" i="498" s="1"/>
  <c r="AL49" i="1"/>
  <c r="AK49" i="1"/>
  <c r="AL48" i="1"/>
  <c r="AK48" i="1"/>
  <c r="AL47" i="1"/>
  <c r="AK47" i="1"/>
  <c r="AL46" i="1"/>
  <c r="AK46" i="1"/>
  <c r="AL45" i="1"/>
  <c r="AK45" i="1"/>
  <c r="AL44" i="1"/>
  <c r="AK44" i="1"/>
  <c r="AL43" i="1"/>
  <c r="AK43" i="1"/>
  <c r="AL42" i="1"/>
  <c r="AK42" i="1"/>
  <c r="AL41" i="1"/>
  <c r="AK41" i="1"/>
  <c r="AL40" i="1"/>
  <c r="AK40" i="1"/>
  <c r="AL39" i="1"/>
  <c r="AK39" i="1"/>
  <c r="AL38" i="1"/>
  <c r="AK38" i="1"/>
  <c r="AL37" i="1"/>
  <c r="AK37" i="1"/>
  <c r="AL36" i="1"/>
  <c r="AK36" i="1"/>
  <c r="AL35" i="1"/>
  <c r="AK35" i="1"/>
  <c r="AL34" i="1"/>
  <c r="AK34" i="1"/>
  <c r="AL33" i="1"/>
  <c r="AK33" i="1"/>
  <c r="AL32" i="1"/>
  <c r="AK32" i="1"/>
  <c r="AL31" i="1"/>
  <c r="AK31" i="1"/>
  <c r="AL30" i="1"/>
  <c r="AK30" i="1"/>
  <c r="AL29" i="1"/>
  <c r="AK29" i="1"/>
  <c r="AL28" i="1"/>
  <c r="AK28" i="1"/>
  <c r="AL27" i="1"/>
  <c r="AK27" i="1"/>
  <c r="AL26" i="1"/>
  <c r="AK26" i="1"/>
  <c r="AL25" i="1"/>
  <c r="AK25" i="1"/>
  <c r="AL24" i="1"/>
  <c r="AK24" i="1"/>
  <c r="AL23" i="1"/>
  <c r="AK23" i="1"/>
  <c r="AL22" i="1"/>
  <c r="AK22" i="1"/>
  <c r="AL21" i="1"/>
  <c r="AK21" i="1"/>
  <c r="AL20" i="1"/>
  <c r="AK20" i="1"/>
  <c r="AL19" i="1"/>
  <c r="AK19" i="1"/>
  <c r="AL18" i="1"/>
  <c r="AK18" i="1"/>
  <c r="AL17" i="1"/>
  <c r="AK17" i="1"/>
  <c r="AL16" i="1"/>
  <c r="AK16" i="1"/>
  <c r="AL15" i="1"/>
  <c r="AK15" i="1"/>
  <c r="AL14" i="1"/>
  <c r="AK14" i="1"/>
  <c r="AL13" i="1"/>
  <c r="AK13" i="1"/>
  <c r="AL12" i="1"/>
  <c r="AK12" i="1"/>
  <c r="AL11" i="1"/>
  <c r="AK11" i="1"/>
  <c r="AL10" i="1"/>
  <c r="AK10" i="1"/>
  <c r="AL9" i="1"/>
  <c r="AK9" i="1"/>
  <c r="AL8" i="1"/>
  <c r="AK8" i="1"/>
  <c r="AL7" i="1"/>
  <c r="AK7" i="1"/>
  <c r="AL6" i="1"/>
  <c r="AK6" i="1"/>
  <c r="AK4" i="1"/>
  <c r="AK5" i="1"/>
  <c r="AL4" i="1"/>
  <c r="AL5" i="1"/>
  <c r="AK2" i="1"/>
  <c r="AL2" i="1"/>
  <c r="AK3" i="1"/>
  <c r="AL3" i="1"/>
  <c r="B9" i="4" l="1"/>
  <c r="D21" i="3" a="1"/>
  <c r="D21" i="3" s="1"/>
  <c r="D20" i="3" a="1"/>
  <c r="D20" i="3" s="1"/>
  <c r="G20" i="3" l="1" a="1"/>
  <c r="G20" i="3" s="1"/>
  <c r="G19" i="3" a="1"/>
  <c r="G19" i="3" s="1"/>
  <c r="G18" i="3" a="1"/>
  <c r="G18" i="3" s="1"/>
  <c r="G17" i="3" a="1"/>
  <c r="G17" i="3" s="1"/>
  <c r="D19" i="3" a="1"/>
  <c r="D19" i="3" s="1"/>
  <c r="D18" i="3" a="1"/>
  <c r="D18" i="3" s="1"/>
  <c r="D17" i="3" a="1"/>
  <c r="D17" i="3" s="1"/>
  <c r="G13" i="3" a="1"/>
  <c r="G13" i="3" s="1"/>
  <c r="G12" i="3" a="1"/>
  <c r="G12" i="3" s="1"/>
  <c r="G11" i="3" a="1"/>
  <c r="G11" i="3" s="1"/>
  <c r="D13" i="3" a="1"/>
  <c r="D13" i="3" s="1"/>
  <c r="C2" i="3" a="1"/>
  <c r="C2" i="3" s="1"/>
  <c r="C7" i="3" a="1"/>
  <c r="C7" i="3" s="1"/>
  <c r="D11" i="3" a="1"/>
  <c r="D11" i="3" s="1"/>
  <c r="D12" i="3" a="1"/>
  <c r="D12" i="3" s="1"/>
  <c r="K1" i="3"/>
  <c r="M1" i="3" s="1"/>
  <c r="C3" i="3" l="1" a="1"/>
  <c r="C3"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<sst xmlns="http://schemas.openxmlformats.org/spreadsheetml/2006/main" count="1167" uniqueCount="169">
  <si>
    <t>Company ID (18 Char)</t>
  </si>
  <si>
    <t>FivesCreated ID (18)</t>
  </si>
  <si>
    <t>Five Created Name</t>
  </si>
  <si>
    <t>Company Name</t>
  </si>
  <si>
    <t>Edit Date</t>
  </si>
  <si>
    <t>Old Value</t>
  </si>
  <si>
    <t>New Value</t>
  </si>
  <si>
    <t>Gene Accepted</t>
  </si>
  <si>
    <t>Assign Senior: Full Name</t>
  </si>
  <si>
    <t>Gene's Comments</t>
  </si>
  <si>
    <t>Current Prospect Status</t>
  </si>
  <si>
    <t>Prospect Source</t>
  </si>
  <si>
    <t>Split Credit</t>
  </si>
  <si>
    <t>Exclude Commissions</t>
  </si>
  <si>
    <t>Last Meaningful Interaction Date</t>
  </si>
  <si>
    <t>Last Meaningful Interaction</t>
  </si>
  <si>
    <t>Last Activity</t>
  </si>
  <si>
    <t>Scale Notes</t>
  </si>
  <si>
    <t>Growth Notes</t>
  </si>
  <si>
    <t>Profitability Notes</t>
  </si>
  <si>
    <t>Revenue Model Notes</t>
  </si>
  <si>
    <t>Ownership Dynamic Notes</t>
  </si>
  <si>
    <t>Concentrations Notes</t>
  </si>
  <si>
    <t>Capital Structure Notes</t>
  </si>
  <si>
    <t>Invested Capital ($)</t>
  </si>
  <si>
    <t>Description</t>
  </si>
  <si>
    <t>Employees (SS)</t>
  </si>
  <si>
    <t>Latest Raised (SS)</t>
  </si>
  <si>
    <t>Latest Raised Date (SS)</t>
  </si>
  <si>
    <t>Total Raised (SS)</t>
  </si>
  <si>
    <t>Ownership (SS)</t>
  </si>
  <si>
    <t>5 - Interesting Now</t>
  </si>
  <si>
    <t>Undecided</t>
  </si>
  <si>
    <t>Proprietary</t>
  </si>
  <si>
    <t>Private</t>
  </si>
  <si>
    <t>Upgraded By</t>
  </si>
  <si>
    <t>Team</t>
  </si>
  <si>
    <t>Qualification Parameters</t>
  </si>
  <si>
    <t>Website</t>
  </si>
  <si>
    <t>Latest Raised Date</t>
  </si>
  <si>
    <t>Latest Raised</t>
  </si>
  <si>
    <t>Total Raised</t>
  </si>
  <si>
    <t>Employees</t>
  </si>
  <si>
    <t>Additional Data</t>
  </si>
  <si>
    <t>Company Owner &amp; Team</t>
  </si>
  <si>
    <t>Company Owner</t>
  </si>
  <si>
    <t>Upgraded by Combined</t>
  </si>
  <si>
    <t>Count by Upgraded</t>
  </si>
  <si>
    <t>#</t>
  </si>
  <si>
    <t>2 - Unknown: In Workflow</t>
  </si>
  <si>
    <t>HQ</t>
  </si>
  <si>
    <t>USA</t>
  </si>
  <si>
    <t>HQ Country</t>
  </si>
  <si>
    <t>1300 x 605</t>
  </si>
  <si>
    <t>Weekly Fives Review</t>
  </si>
  <si>
    <t>4 - Track for Future</t>
  </si>
  <si>
    <t>None</t>
  </si>
  <si>
    <t>Venture Capital</t>
  </si>
  <si>
    <t>none</t>
  </si>
  <si>
    <t>$30M ARR</t>
  </si>
  <si>
    <t>001d000001cl1huAAA</t>
  </si>
  <si>
    <t>a1RVR000000D70T2AS</t>
  </si>
  <si>
    <t>FD240226_04141</t>
  </si>
  <si>
    <t>Delaget</t>
  </si>
  <si>
    <t>Ben MacShane</t>
  </si>
  <si>
    <t>Follow-up Conversation: Jason Tober (Delaget) with Ben MacShane 2/26/2024 (7 days ago).</t>
  </si>
  <si>
    <t>$15M EOY '23A ARR</t>
  </si>
  <si>
    <t>~40% 2022 Growth</t>
  </si>
  <si>
    <t>CF+ in 1H '24</t>
  </si>
  <si>
    <t>Subscription, per restaurant per month</t>
  </si>
  <si>
    <t>One outside shareholder</t>
  </si>
  <si>
    <t>None known</t>
  </si>
  <si>
    <t>2014: Northern Pacific Group investment (Series A)</t>
  </si>
  <si>
    <t>Delaget, LLC is an information service, transaction processing, and outsourced services company. The company offers loss prevention, reporting, analytics, and payroll and accounting services. The company serves its clients across the country.</t>
  </si>
  <si>
    <t>https://www.delaget.com</t>
  </si>
  <si>
    <t>0010V00002C75f9QAB</t>
  </si>
  <si>
    <t>a1RVR000000Di852AC</t>
  </si>
  <si>
    <t>FD240228_04144</t>
  </si>
  <si>
    <t>CCR</t>
  </si>
  <si>
    <t>Jordan Walton</t>
  </si>
  <si>
    <t>First Meeting: Mark Bonham (CCR) with Ben MacShane 2/28/2024 (5 days ago).</t>
  </si>
  <si>
    <t>$50M ARR (biz unit: $30M media/linear, $10M private LTE, $4M Ag, $2M construction, $4M gen. MSP</t>
  </si>
  <si>
    <t>Media/Linear: 8%. Private LTE flat, Ag. NA, construction 100%</t>
  </si>
  <si>
    <t>$7-9M of EBITDA</t>
  </si>
  <si>
    <t>Recurring</t>
  </si>
  <si>
    <t>100p by Kelly family</t>
  </si>
  <si>
    <t>None more than 10%</t>
  </si>
  <si>
    <t>Circle Computer Resources, Inc. (CCR) is an information service company. It offers a range of IT services to businesses and specializes in enterprise-level managed internet and connectivity services, broadcast monitoring, and cloud content sourcing. The company provides its services throughout the country.</t>
  </si>
  <si>
    <t>https://ccr.net</t>
  </si>
  <si>
    <t>0018X000034Pm6qQAC</t>
  </si>
  <si>
    <t>a1RVR000000ERI52AO</t>
  </si>
  <si>
    <t>FD240304_04159</t>
  </si>
  <si>
    <t>HeroDevs</t>
  </si>
  <si>
    <t>First Meeting: Aaron Frost (HeroDevs) with Ben MacShane 3/1/2024 (3 days ago).</t>
  </si>
  <si>
    <t>$19M of product rev, $10M of services</t>
  </si>
  <si>
    <t>50%+</t>
  </si>
  <si>
    <t>$12m of EBITDA</t>
  </si>
  <si>
    <t>recurring product rev. and services</t>
  </si>
  <si>
    <t>$8M from Album, rest is founder</t>
  </si>
  <si>
    <t>HeroDevs, LLC is a software development company. Its products include NES Vue 2, NES Angular, AngularJS XLTS, NES Protractor, Endbridge. The company offers Web, Web Development, Architecture, Open Source, End-of-Life, Angular, Vue, Nx, React, Cypress, and AngularJs. It provides services to its clients and business consumers.</t>
  </si>
  <si>
    <t>https://www.herodevs.com</t>
  </si>
  <si>
    <t>0013w00002UGhAOAA1</t>
  </si>
  <si>
    <t>a1RVR000000ERht2AG</t>
  </si>
  <si>
    <t>FD240304_04160</t>
  </si>
  <si>
    <t>Smarty</t>
  </si>
  <si>
    <t>First Meeting: Rob Green (SmartyStreets) with Ben MacShane 2/29/2024 (4 days ago).</t>
  </si>
  <si>
    <t>30% YoY</t>
  </si>
  <si>
    <t>30% EBITDA</t>
  </si>
  <si>
    <t>subscription SaaS</t>
  </si>
  <si>
    <t>100p founder owned</t>
  </si>
  <si>
    <t>SmartyStreets, LLC is to operate as a software services company that provides address validation and geocoding services. It offers on-demand USPS address verification, validation, certification, and standardization services.</t>
  </si>
  <si>
    <t>https://www.smarty.com</t>
  </si>
  <si>
    <t>Reference for Leo: 1-20. Fill out 1-10 on left, then 11-20 on right columns. If &gt;20, split evenly between 2 columns</t>
  </si>
  <si>
    <t>Upgraded By Ben MacShane</t>
  </si>
  <si>
    <t>Delaget2</t>
  </si>
  <si>
    <t>CCR2</t>
  </si>
  <si>
    <t>HeroDevs2</t>
  </si>
  <si>
    <t>Smarty2</t>
  </si>
  <si>
    <t>Delaget3</t>
  </si>
  <si>
    <t>CCR3</t>
  </si>
  <si>
    <t>HeroDevs3</t>
  </si>
  <si>
    <t>Smarty3</t>
  </si>
  <si>
    <t>Delaget4</t>
  </si>
  <si>
    <t>CCR5</t>
  </si>
  <si>
    <t>CCR4</t>
  </si>
  <si>
    <t>HeroDevs4</t>
  </si>
  <si>
    <t>Smarty4</t>
  </si>
  <si>
    <t>Delaget5</t>
  </si>
  <si>
    <t>HeroDevs5</t>
  </si>
  <si>
    <t>Smarty5</t>
  </si>
  <si>
    <t>Delaget6</t>
  </si>
  <si>
    <t>CCR6</t>
  </si>
  <si>
    <t>HeroDevs6</t>
  </si>
  <si>
    <t>Smarty6</t>
  </si>
  <si>
    <t>Delaget7</t>
  </si>
  <si>
    <t>CCR7</t>
  </si>
  <si>
    <t>HeroDevs7</t>
  </si>
  <si>
    <t>Smarty7</t>
  </si>
  <si>
    <t>Delaget8</t>
  </si>
  <si>
    <t>CCR8</t>
  </si>
  <si>
    <t>HeroDevs8</t>
  </si>
  <si>
    <t>Smarty8</t>
  </si>
  <si>
    <t>Delaget9</t>
  </si>
  <si>
    <t>CCR9</t>
  </si>
  <si>
    <t>HeroDevs9</t>
  </si>
  <si>
    <t>Smarty9</t>
  </si>
  <si>
    <t>Delaget10</t>
  </si>
  <si>
    <t>CCR10</t>
  </si>
  <si>
    <t>HeroDevs10</t>
  </si>
  <si>
    <t>Smarty10</t>
  </si>
  <si>
    <t>Delaget11</t>
  </si>
  <si>
    <t>CCR11</t>
  </si>
  <si>
    <t>HeroDevs11</t>
  </si>
  <si>
    <t>Smarty11</t>
  </si>
  <si>
    <t>Delaget12</t>
  </si>
  <si>
    <t>CCR12</t>
  </si>
  <si>
    <t>HeroDevs12</t>
  </si>
  <si>
    <t>Smarty12</t>
  </si>
  <si>
    <t>Gluteus Pencilman</t>
  </si>
  <si>
    <t>Preston Presstors</t>
  </si>
  <si>
    <t>Mike</t>
  </si>
  <si>
    <t>Lemon Levowitz</t>
  </si>
  <si>
    <t>Crustaceous Investments</t>
  </si>
  <si>
    <t>Classic Crew</t>
  </si>
  <si>
    <t>Yell Out For Me!</t>
  </si>
  <si>
    <t>Blend in Ben</t>
  </si>
  <si>
    <t>Apples</t>
  </si>
  <si>
    <t>Bananas</t>
  </si>
  <si>
    <t>Rhinoceros Rex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</si>
</sst>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0.0_);\(#,##0.0\)"/>
    <numFmt numFmtId="165" formatCode="[$-409]mmmm\ d\,\ yyyy;@"/>
    <numFmt numFmtId="166" formatCode="&quot;$&quot;#,##0"/>
    <numFmt numFmtId="167" formatCode="m/d/yy"/>
  </numFmts>
  <fonts count="35"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22"/>
      <color theme="1" tint="0.24994659260841701"/>
      <name val="Arial"/>
      <family val="2"/>
    </font>
    <font>
      <b/>
      <sz val="14"/>
      <color theme="1" tint="0.24994659260841701"/>
      <name val="Arial"/>
      <family val="2"/>
    </font>
    <font>
      <sz val="9"/>
      <color theme="1"/>
      <name val="Calibri"/>
      <family val="2"/>
      <scheme val="minor"/>
    </font>
    <font>
      <sz val="12"/>
      <color theme="1"/>
      <name val="Arial"/>
      <family val="2"/>
    </font>
    <font>
      <b/>
      <sz val="9"/>
      <color theme="1"/>
      <name val="Calibri"/>
      <family val="2"/>
      <scheme val="minor"/>
    </font>
    <font>
      <b/>
      <sz val="18"/>
      <color theme="1" tint="0.24994659260841701"/>
      <name val="Arial"/>
      <family val="2"/>
    </font>
    <font>
      <b/>
      <sz val="28"/>
      <color theme="1" tint="0.24994659260841701"/>
      <name val="Arial"/>
      <family val="2"/>
    </font>
    <font>
      <sz val="16"/>
      <color theme="1"/>
      <name val="Arial"/>
      <family val="2"/>
    </font>
    <font>
      <b/>
      <sz val="16"/>
      <color theme="1"/>
      <name val="Calibri"/>
      <family val="2"/>
      <scheme val="minor"/>
    </font>
    <font>
      <sz val="16"/>
      <color theme="1"/>
      <name val="Calibri"/>
      <family val="2"/>
      <scheme val="minor"/>
    </font>
    <font>
      <b/>
      <sz val="16"/>
      <color theme="0"/>
      <name val="Calibri"/>
      <family val="2"/>
      <scheme val="minor"/>
    </font>
    <font>
      <sz val="21"/>
      <color theme="1" tint="0.24994659260841701"/>
      <name val="Arial"/>
      <family val="2"/>
    </font>
    <font>
      <b/>
      <sz val="15"/>
      <color theme="1"/>
      <name val="Arial"/>
      <family val="2"/>
    </font>
    <font>
      <sz val="15"/>
      <color theme="1"/>
      <name val="Arial"/>
      <family val="2"/>
    </font>
    <font>
      <sz val="12"/>
      <color rgb="FF000000"/>
      <name val="Calibri"/>
      <family val="2"/>
    </font>
    <font>
      <sz val="20"/>
      <color theme="1" tint="0.24994659260841701"/>
      <name val="Arial"/>
      <family val="2"/>
    </font>
    <font>
      <sz val="14"/>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7" tint="0.79998168889431442"/>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ck">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medium">
        <color theme="0"/>
      </right>
      <top/>
      <bottom/>
      <diagonal/>
    </border>
    <border>
      <left style="medium">
        <color theme="0"/>
      </left>
      <right style="medium">
        <color theme="0"/>
      </right>
      <top/>
      <bottom/>
      <diagonal/>
    </border>
    <border>
      <left style="medium">
        <color theme="0"/>
      </left>
      <right/>
      <top/>
      <bottom/>
      <diagonal/>
    </border>
    <border>
      <left/>
      <right/>
      <top style="thin">
        <color theme="1"/>
      </top>
      <bottom style="thin">
        <color theme="1"/>
      </bottom>
      <diagonal/>
    </border>
    <border>
      <left/>
      <right/>
      <top style="thin">
        <color theme="1"/>
      </top>
      <bottom/>
      <diagonal/>
    </border>
  </borders>
  <cellStyleXfs count="47">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Protection="0">
      <alignment vertical="top"/>
    </xf>
    <xf numFmtId="0" fontId="20" fillId="0" borderId="0"/>
    <xf numFmtId="9" fontId="1" fillId="0" borderId="0" applyFont="0" applyFill="0" applyBorder="0" applyAlignment="0" applyProtection="0"/>
  </cellStyleXfs>
  <cellXfs count="40">
    <xf numFmtId="0" fontId="0" fillId="0" borderId="0" xfId="0"/>
    <xf numFmtId="164" fontId="20" fillId="0" borderId="0" xfId="45" applyNumberFormat="1"/>
    <xf numFmtId="0" fontId="0" fillId="0" borderId="10" xfId="0" applyBorder="1"/>
    <xf numFmtId="0" fontId="21" fillId="0" borderId="10" xfId="0" applyFont="1" applyBorder="1"/>
    <xf numFmtId="164" fontId="0" fillId="0" borderId="11" xfId="0" applyNumberFormat="1" applyBorder="1"/>
    <xf numFmtId="0" fontId="16" fillId="0" borderId="0" xfId="0" applyFont="1"/>
    <xf numFmtId="164" fontId="22" fillId="0" borderId="0" xfId="45" applyNumberFormat="1" applyFont="1"/>
    <xf numFmtId="0" fontId="21" fillId="34" borderId="10" xfId="0" applyFont="1" applyFill="1" applyBorder="1"/>
    <xf numFmtId="0" fontId="21" fillId="0" borderId="10" xfId="0" applyFont="1" applyBorder="1" applyAlignment="1">
      <alignment wrapText="1"/>
    </xf>
    <xf numFmtId="164" fontId="23" fillId="0" borderId="11" xfId="44" applyNumberFormat="1" applyFont="1" applyBorder="1">
      <alignment vertical="top"/>
    </xf>
    <xf numFmtId="164" fontId="24" fillId="0" borderId="10" xfId="43" applyNumberFormat="1" applyFont="1" applyBorder="1"/>
    <xf numFmtId="164" fontId="24" fillId="0" borderId="0" xfId="43" applyNumberFormat="1" applyFont="1"/>
    <xf numFmtId="0" fontId="26" fillId="0" borderId="0" xfId="0" applyFont="1"/>
    <xf numFmtId="0" fontId="27" fillId="0" borderId="0" xfId="0" applyFont="1"/>
    <xf numFmtId="164" fontId="29" fillId="0" borderId="10" xfId="43" applyNumberFormat="1" applyFont="1" applyBorder="1"/>
    <xf numFmtId="0" fontId="30" fillId="0" borderId="10" xfId="0" applyFont="1" applyBorder="1" applyAlignment="1">
      <alignment horizontal="left" vertical="top"/>
    </xf>
    <xf numFmtId="0" fontId="31" fillId="0" borderId="10" xfId="0" applyFont="1" applyBorder="1" applyAlignment="1">
      <alignment horizontal="left" vertical="top" wrapText="1"/>
    </xf>
    <xf numFmtId="0" fontId="31" fillId="0" borderId="10" xfId="0" applyFont="1" applyBorder="1" applyAlignment="1">
      <alignment horizontal="left" vertical="top"/>
    </xf>
    <xf numFmtId="165" fontId="31" fillId="0" borderId="10" xfId="1" applyNumberFormat="1" applyFont="1" applyBorder="1" applyAlignment="1">
      <alignment horizontal="left" vertical="top" wrapText="1"/>
    </xf>
    <xf numFmtId="164" fontId="0" fillId="0" borderId="11" xfId="0" applyNumberFormat="1" applyBorder="1" applyAlignment="1">
      <alignment wrapText="1"/>
    </xf>
    <xf numFmtId="0" fontId="0" fillId="35" borderId="0" xfId="0" applyFill="1"/>
    <xf numFmtId="9" fontId="31" fillId="0" borderId="10" xfId="0" applyNumberFormat="1" applyFont="1" applyBorder="1" applyAlignment="1">
      <alignment horizontal="left" vertical="top" wrapText="1"/>
    </xf>
    <xf numFmtId="9" fontId="31" fillId="0" borderId="10" xfId="46" applyFont="1" applyBorder="1" applyAlignment="1">
      <alignment horizontal="left" vertical="top" wrapText="1"/>
    </xf>
    <xf numFmtId="0" fontId="21" fillId="36" borderId="10" xfId="0" applyFont="1" applyFill="1" applyBorder="1" applyAlignment="1">
      <alignment horizontal="right"/>
    </xf>
    <xf numFmtId="0" fontId="28" fillId="33" borderId="15" xfId="0" applyFont="1" applyFill="1" applyBorder="1" applyAlignment="1">
      <alignment horizontal="center" vertical="center"/>
    </xf>
    <xf numFmtId="0" fontId="28" fillId="33" borderId="16" xfId="0" applyFont="1" applyFill="1" applyBorder="1"/>
    <xf numFmtId="0" fontId="28" fillId="33" borderId="17" xfId="0" applyFont="1" applyFill="1" applyBorder="1"/>
    <xf numFmtId="166" fontId="31" fillId="0" borderId="10" xfId="1" applyNumberFormat="1" applyFont="1" applyBorder="1" applyAlignment="1">
      <alignment horizontal="left" vertical="top" wrapText="1"/>
    </xf>
    <xf numFmtId="0" fontId="31" fillId="0" borderId="10" xfId="0" applyFont="1" applyBorder="1"/>
    <xf numFmtId="0" fontId="30" fillId="0" borderId="10" xfId="0" applyFont="1" applyBorder="1"/>
    <xf numFmtId="14" fontId="33" fillId="0" borderId="0" xfId="44" applyNumberFormat="1" applyFont="1" applyFill="1">
      <alignment vertical="top"/>
    </xf>
    <xf numFmtId="14" fontId="0" fillId="0" borderId="0" xfId="0" applyNumberFormat="1"/>
    <xf numFmtId="164" fontId="34" fillId="0" borderId="0" xfId="45" applyNumberFormat="1" applyFont="1"/>
    <xf numFmtId="0" fontId="0" fillId="0" borderId="18" xfId="0" applyBorder="1"/>
    <xf numFmtId="167" fontId="0" fillId="0" borderId="0" xfId="0" applyNumberFormat="1"/>
    <xf numFmtId="9" fontId="0" fillId="0" borderId="0" xfId="0" applyNumberFormat="1"/>
    <xf numFmtId="0" fontId="0" fillId="0" borderId="19" xfId="0" applyBorder="1"/>
    <xf numFmtId="0" fontId="25" fillId="0" borderId="12" xfId="0" applyFont="1"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cellXfs>
  <cellStyles count="47">
    <cellStyle name="_Heading" xfId="43" xr:uid="{00000000-0005-0000-0000-000000000000}"/>
    <cellStyle name="_SubHeading" xfId="44" xr:uid="{00000000-0005-0000-0000-000001000000}"/>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45" xr:uid="{00000000-0005-0000-0000-000028000000}"/>
    <cellStyle name="Note" xfId="16" builtinId="10" customBuiltin="1"/>
    <cellStyle name="Output" xfId="11" builtinId="21" customBuiltin="1"/>
    <cellStyle name="Percent" xfId="46" builtinId="5"/>
    <cellStyle name="Title" xfId="2" builtinId="15" customBuiltin="1"/>
    <cellStyle name="Total" xfId="18" builtinId="25" customBuiltin="1"/>
    <cellStyle name="Warning Text" xfId="15" builtinId="11" customBuiltin="1"/>
  </cellStyles>
  <dxfs count="39">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bgColor auto="1"/>
        </patternFill>
      </fill>
      <alignment horizontal="general" vertical="bottom" textRotation="0" wrapText="0" indent="0" justifyLastLine="0" shrinkToFit="0" readingOrder="0"/>
      <border diagonalUp="0" diagonalDown="0">
        <left/>
        <right/>
        <top style="thin">
          <color theme="1"/>
        </top>
        <bottom style="thin">
          <color theme="1"/>
        </bottom>
      </border>
    </dxf>
    <dxf>
      <fill>
        <patternFill patternType="none">
          <bgColor auto="1"/>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399563</xdr:colOff>
      <xdr:row>1</xdr:row>
      <xdr:rowOff>58615</xdr:rowOff>
    </xdr:from>
    <xdr:to>
      <xdr:col>3</xdr:col>
      <xdr:colOff>2019301</xdr:colOff>
      <xdr:row>6</xdr:row>
      <xdr:rowOff>15743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9563" y="439615"/>
          <a:ext cx="5286130" cy="10415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3100"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518145" name="Button 1" descr="Run" hidden="1">
              <a:extLst>
                <a:ext uri="{63B3BB69-23CF-44E3-9099-C40C66FF867C}">
                  <a14:compatExt spid="_x0000_s518145"/>
                </a:ext>
                <a:ext uri="{FF2B5EF4-FFF2-40B4-BE49-F238E27FC236}">
                  <a16:creationId xmlns:a16="http://schemas.microsoft.com/office/drawing/2014/main" id="{00000000-0008-0000-0100-000001E807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518146" name="Button 2" hidden="1">
              <a:extLst>
                <a:ext uri="{63B3BB69-23CF-44E3-9099-C40C66FF867C}">
                  <a14:compatExt spid="_x0000_s518146"/>
                </a:ext>
                <a:ext uri="{FF2B5EF4-FFF2-40B4-BE49-F238E27FC236}">
                  <a16:creationId xmlns:a16="http://schemas.microsoft.com/office/drawing/2014/main" id="{00000000-0008-0000-0100-000002E807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0" y="215900"/>
          <a:ext cx="914400" cy="922972"/>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701675</xdr:colOff>
          <xdr:row>1</xdr:row>
          <xdr:rowOff>161925</xdr:rowOff>
        </xdr:from>
        <xdr:to>
          <xdr:col>12</xdr:col>
          <xdr:colOff>184150</xdr:colOff>
          <xdr:row>2</xdr:row>
          <xdr:rowOff>98425</xdr:rowOff>
        </xdr:to>
        <xdr:sp macro="" textlink="">
          <xdr:nvSpPr>
            <xdr:cNvPr id="3073" name="Button 1" descr="Run"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139700</xdr:colOff>
          <xdr:row>6</xdr:row>
          <xdr:rowOff>276225</xdr:rowOff>
        </xdr:from>
        <xdr:to>
          <xdr:col>13</xdr:col>
          <xdr:colOff>736600</xdr:colOff>
          <xdr:row>6</xdr:row>
          <xdr:rowOff>777875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2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38</xdr:col>
      <xdr:colOff>584200</xdr:colOff>
      <xdr:row>1</xdr:row>
      <xdr:rowOff>0</xdr:rowOff>
    </xdr:from>
    <xdr:to>
      <xdr:col>48</xdr:col>
      <xdr:colOff>25400</xdr:colOff>
      <xdr:row>5</xdr:row>
      <xdr:rowOff>188334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1516300" y="977900"/>
          <a:ext cx="7772400" cy="1890134"/>
        </a:xfrm>
        <a:prstGeom prst="rect">
          <a:avLst/>
        </a:prstGeom>
      </xdr:spPr>
    </xdr:pic>
    <xdr:clientData/>
  </xdr:twoCellAnchor>
  <xdr:twoCellAnchor editAs="oneCell">
    <xdr:from>
      <xdr:col>38</xdr:col>
      <xdr:colOff>533400</xdr:colOff>
      <xdr:row>1</xdr:row>
      <xdr:rowOff>0</xdr:rowOff>
    </xdr:from>
    <xdr:to>
      <xdr:col>41</xdr:col>
      <xdr:colOff>614680</xdr:colOff>
      <xdr:row>4</xdr:row>
      <xdr:rowOff>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1465500" y="292100"/>
          <a:ext cx="2633980" cy="647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Fives" displayName="Fives" ref="A1:AL49" totalsRowShown="0" dataDxfId="38">
  <autoFilter ref="A1:AL49" xr:uid="{00000000-0009-0000-0100-000001000000}"/>
  <sortState xmlns:xlrd2="http://schemas.microsoft.com/office/spreadsheetml/2017/richdata2" ref="A2:AL5">
    <sortCondition descending="1" ref="AK2:AK5"/>
    <sortCondition ref="AL2:AL5"/>
    <sortCondition ref="H2:H5"/>
  </sortState>
  <tableColumns count="38">
    <tableColumn id="1" xr3:uid="{00000000-0010-0000-0000-000001000000}" name="Company ID (18 Char)" dataDxfId="37"/>
    <tableColumn id="2" xr3:uid="{00000000-0010-0000-0000-000002000000}" name="FivesCreated ID (18)" dataDxfId="36"/>
    <tableColumn id="3" xr3:uid="{00000000-0010-0000-0000-000003000000}" name="Five Created Name" dataDxfId="35"/>
    <tableColumn id="4" xr3:uid="{00000000-0010-0000-0000-000004000000}" name="Company Name" dataDxfId="34"/>
    <tableColumn id="35" xr3:uid="{00000000-0010-0000-0000-000023000000}" name="Company Owner" dataDxfId="33"/>
    <tableColumn id="33" xr3:uid="{00000000-0010-0000-0000-000021000000}" name="Team" dataDxfId="32"/>
    <tableColumn id="5" xr3:uid="{00000000-0010-0000-0000-000005000000}" name="Upgraded By" dataDxfId="31"/>
    <tableColumn id="6" xr3:uid="{00000000-0010-0000-0000-000006000000}" name="Edit Date" dataDxfId="30"/>
    <tableColumn id="7" xr3:uid="{00000000-0010-0000-0000-000007000000}" name="Old Value" dataDxfId="29"/>
    <tableColumn id="8" xr3:uid="{00000000-0010-0000-0000-000008000000}" name="New Value" dataDxfId="28"/>
    <tableColumn id="9" xr3:uid="{00000000-0010-0000-0000-000009000000}" name="Gene Accepted" dataDxfId="27"/>
    <tableColumn id="10" xr3:uid="{00000000-0010-0000-0000-00000A000000}" name="Assign Senior: Full Name" dataDxfId="26"/>
    <tableColumn id="11" xr3:uid="{00000000-0010-0000-0000-00000B000000}" name="Gene's Comments" dataDxfId="25"/>
    <tableColumn id="12" xr3:uid="{00000000-0010-0000-0000-00000C000000}" name="Current Prospect Status" dataDxfId="24"/>
    <tableColumn id="13" xr3:uid="{00000000-0010-0000-0000-00000D000000}" name="Prospect Source" dataDxfId="23"/>
    <tableColumn id="14" xr3:uid="{00000000-0010-0000-0000-00000E000000}" name="Split Credit" dataDxfId="22"/>
    <tableColumn id="15" xr3:uid="{00000000-0010-0000-0000-00000F000000}" name="Exclude Commissions" dataDxfId="21"/>
    <tableColumn id="16" xr3:uid="{00000000-0010-0000-0000-000010000000}" name="Last Meaningful Interaction Date" dataDxfId="20"/>
    <tableColumn id="17" xr3:uid="{00000000-0010-0000-0000-000011000000}" name="Last Meaningful Interaction" dataDxfId="19"/>
    <tableColumn id="18" xr3:uid="{00000000-0010-0000-0000-000012000000}" name="Last Activity" dataDxfId="18"/>
    <tableColumn id="19" xr3:uid="{00000000-0010-0000-0000-000013000000}" name="Scale Notes" dataDxfId="17"/>
    <tableColumn id="20" xr3:uid="{00000000-0010-0000-0000-000014000000}" name="Growth Notes" dataDxfId="16"/>
    <tableColumn id="21" xr3:uid="{00000000-0010-0000-0000-000015000000}" name="Profitability Notes" dataDxfId="15"/>
    <tableColumn id="22" xr3:uid="{00000000-0010-0000-0000-000016000000}" name="Revenue Model Notes" dataDxfId="14"/>
    <tableColumn id="23" xr3:uid="{00000000-0010-0000-0000-000017000000}" name="Ownership Dynamic Notes" dataDxfId="13"/>
    <tableColumn id="24" xr3:uid="{00000000-0010-0000-0000-000018000000}" name="Concentrations Notes" dataDxfId="12"/>
    <tableColumn id="25" xr3:uid="{00000000-0010-0000-0000-000019000000}" name="Capital Structure Notes" dataDxfId="11"/>
    <tableColumn id="26" xr3:uid="{00000000-0010-0000-0000-00001A000000}" name="Invested Capital ($)" dataDxfId="10"/>
    <tableColumn id="27" xr3:uid="{00000000-0010-0000-0000-00001B000000}" name="Description" dataDxfId="9"/>
    <tableColumn id="28" xr3:uid="{00000000-0010-0000-0000-00001C000000}" name="Employees (SS)" dataDxfId="8"/>
    <tableColumn id="29" xr3:uid="{00000000-0010-0000-0000-00001D000000}" name="Latest Raised (SS)" dataDxfId="7"/>
    <tableColumn id="30" xr3:uid="{00000000-0010-0000-0000-00001E000000}" name="Latest Raised Date (SS)" dataDxfId="6"/>
    <tableColumn id="31" xr3:uid="{00000000-0010-0000-0000-00001F000000}" name="Total Raised (SS)" dataDxfId="5"/>
    <tableColumn id="32" xr3:uid="{00000000-0010-0000-0000-000020000000}" name="Ownership (SS)" dataDxfId="4"/>
    <tableColumn id="34" xr3:uid="{00000000-0010-0000-0000-000022000000}" name="Website" dataDxfId="3"/>
    <tableColumn id="38" xr3:uid="{9280D4AC-C314-0F40-96A9-325E1158FB61}" name="HQ" dataDxfId="2"/>
    <tableColumn id="36" xr3:uid="{17CF8313-2E40-7E4B-A5CA-02C94CF909FA}" name="Count by Upgraded" dataDxfId="1">
      <calculatedColumnFormula>COUNTIF(Fives[Upgraded By],Fives[[#This Row],[Upgraded By]])</calculatedColumnFormula>
    </tableColumn>
    <tableColumn id="37" xr3:uid="{54A5F48F-9ECA-CB49-B713-C3FB79780F80}" name="Upgraded by Combined" dataDxfId="0">
      <calculatedColumnFormula>IF(Fives[[#This Row],[Split Credit]]="",Fives[[#This Row],[Upgraded By]],IF(ISNUMBER(FIND(Fives[[#This Row],[Upgraded By]],Fives[[#This Row],[Split Credit]])),Fives[[#This Row],[Split Credit]],Fives[[#This Row],[Upgraded By]]&amp;"; "&amp;Fives[[#This Row],[Split Credit]]))</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1:H37"/>
  <sheetViews>
    <sheetView showGridLines="0" tabSelected="1" zoomScale="34" zoomScaleNormal="40" workbookViewId="0">
      <selection activeCell="F8" sqref="F8"/>
    </sheetView>
  </sheetViews>
  <sheetFormatPr defaultColWidth="7.6640625" defaultRowHeight="12.25" x14ac:dyDescent="0.65"/>
  <cols>
    <col min="1" max="1" width="5.1640625" style="1" customWidth="1"/>
    <col min="2" max="2" width="5" style="6" customWidth="1"/>
    <col min="3" max="3" width="38" style="1" customWidth="1"/>
    <col min="4" max="4" width="56.6640625" style="1" customWidth="1"/>
    <col min="5" max="5" width="5.33203125" style="1" customWidth="1"/>
    <col min="6" max="6" width="5" style="1" customWidth="1"/>
    <col min="7" max="7" width="45" style="1" customWidth="1"/>
    <col min="8" max="8" width="39.33203125" style="1" customWidth="1"/>
    <col min="9" max="16384" width="7.6640625" style="1"/>
  </cols>
  <sheetData>
    <row r="1" spans="2:8" ht="30" customHeight="1" x14ac:dyDescent="0.65"/>
    <row r="6" spans="2:8" ht="36" customHeight="1" x14ac:dyDescent="0.65"/>
    <row r="7" spans="2:8" ht="13" customHeight="1" x14ac:dyDescent="0.65"/>
    <row r="8" spans="2:8" ht="35" x14ac:dyDescent="1.4">
      <c r="B8" s="11" t="s">
        <v>54</v>
      </c>
      <c r="G8" s="32" t="s">
        <v>112</v>
      </c>
    </row>
    <row r="9" spans="2:8" ht="25" x14ac:dyDescent="0.65">
      <c r="B9" s="30" t="str">
        <f ca="1">"Week of "&amp;TEXT(TODAY(),"M/D/YYYY")</f>
        <v>Week of 3/26/2024</v>
      </c>
    </row>
    <row r="10" spans="2:8" ht="21" x14ac:dyDescent="1">
      <c r="B10" s="12"/>
      <c r="C10" s="13"/>
      <c r="D10" s="13"/>
    </row>
    <row r="11" spans="2:8" ht="16" x14ac:dyDescent="0.8">
      <c r="B11" s="5"/>
      <c r="C11"/>
    </row>
    <row r="12" spans="2:8" ht="21" x14ac:dyDescent="1">
      <c r="B12" s="24" t="s">
        <v>48</v>
      </c>
      <c r="C12" s="25" t="s">
        <v>3</v>
      </c>
      <c r="D12" s="26" t="s">
        <v>35</v>
      </c>
      <c r="F12" s="24" t="s">
        <v>48</v>
      </c>
      <c r="G12" s="25" t="s">
        <v>3</v>
      </c>
      <c r="H12" s="26" t="s">
        <v>35</v>
      </c>
    </row>
    <row r="13" spans="2:8" ht="21" x14ac:dyDescent="1">
      <c r="B13" s="12">
        <v>1</v>
      </c>
      <c r="C13" s="13" t="s">
        <v>63</v>
      </c>
      <c r="D13" s="13" t="s">
        <v>64</v>
      </c>
      <c r="F13" s="12">
        <v>26</v>
      </c>
      <c r="G13" s="13"/>
      <c r="H13" s="13"/>
    </row>
    <row r="14" spans="2:8" ht="21" x14ac:dyDescent="1">
      <c r="B14" s="12">
        <v>2</v>
      </c>
      <c r="C14" s="13"/>
      <c r="D14" s="13"/>
      <c r="F14" s="12">
        <v>27</v>
      </c>
      <c r="G14" s="13"/>
      <c r="H14" s="13"/>
    </row>
    <row r="15" spans="2:8" ht="21" x14ac:dyDescent="1">
      <c r="B15" s="12">
        <v>3</v>
      </c>
      <c r="C15" s="13"/>
      <c r="D15" s="13"/>
      <c r="F15" s="12">
        <v>28</v>
      </c>
      <c r="G15" s="13"/>
      <c r="H15" s="13"/>
    </row>
    <row r="16" spans="2:8" ht="21" x14ac:dyDescent="1">
      <c r="B16" s="12">
        <v>4</v>
      </c>
      <c r="C16" s="13"/>
      <c r="D16" s="13"/>
      <c r="F16" s="12">
        <v>29</v>
      </c>
      <c r="G16" s="13"/>
      <c r="H16" s="13"/>
    </row>
    <row r="17" spans="2:8" ht="21" x14ac:dyDescent="1">
      <c r="B17" s="12">
        <v>5</v>
      </c>
      <c r="C17" s="13"/>
      <c r="D17" s="13"/>
      <c r="F17" s="12">
        <v>30</v>
      </c>
      <c r="G17" s="13"/>
      <c r="H17" s="13"/>
    </row>
    <row r="18" spans="2:8" ht="21" x14ac:dyDescent="1">
      <c r="B18" s="12">
        <v>6</v>
      </c>
      <c r="C18" s="13"/>
      <c r="D18" s="13"/>
      <c r="F18" s="12">
        <v>31</v>
      </c>
      <c r="G18" s="13"/>
      <c r="H18" s="13"/>
    </row>
    <row r="19" spans="2:8" ht="21" x14ac:dyDescent="1">
      <c r="B19" s="12">
        <v>7</v>
      </c>
      <c r="C19" s="13"/>
      <c r="D19" s="13"/>
      <c r="F19" s="12">
        <v>32</v>
      </c>
      <c r="G19" s="13"/>
      <c r="H19" s="13"/>
    </row>
    <row r="20" spans="2:8" ht="21" x14ac:dyDescent="1">
      <c r="B20" s="12">
        <v>8</v>
      </c>
      <c r="C20" s="13"/>
      <c r="D20" s="13"/>
      <c r="F20" s="12">
        <v>33</v>
      </c>
      <c r="G20" s="13"/>
      <c r="H20" s="13"/>
    </row>
    <row r="21" spans="2:8" ht="21" x14ac:dyDescent="1">
      <c r="B21" s="12">
        <v>9</v>
      </c>
      <c r="C21" s="13"/>
      <c r="D21" s="13"/>
      <c r="F21" s="12">
        <v>34</v>
      </c>
      <c r="G21" s="13"/>
      <c r="H21" s="13"/>
    </row>
    <row r="22" spans="2:8" ht="21" x14ac:dyDescent="1">
      <c r="B22" s="12">
        <v>10</v>
      </c>
      <c r="C22" s="13"/>
      <c r="D22" s="13"/>
      <c r="F22" s="12">
        <v>35</v>
      </c>
      <c r="G22" s="13"/>
      <c r="H22" s="13"/>
    </row>
    <row r="23" spans="2:8" ht="21" x14ac:dyDescent="1">
      <c r="B23" s="12">
        <v>11</v>
      </c>
      <c r="C23" s="13"/>
      <c r="D23" s="13"/>
      <c r="F23" s="12">
        <v>36</v>
      </c>
      <c r="G23" s="13"/>
      <c r="H23" s="13"/>
    </row>
    <row r="24" spans="2:8" ht="21" x14ac:dyDescent="1">
      <c r="B24" s="12">
        <v>12</v>
      </c>
      <c r="C24" s="13"/>
      <c r="D24" s="13"/>
      <c r="F24" s="12">
        <v>37</v>
      </c>
      <c r="G24" s="13"/>
      <c r="H24" s="13"/>
    </row>
    <row r="25" spans="2:8" ht="21" x14ac:dyDescent="1">
      <c r="B25" s="12">
        <v>13</v>
      </c>
      <c r="C25" s="13"/>
      <c r="D25" s="13"/>
      <c r="F25" s="1">
        <v>38</v>
      </c>
    </row>
    <row r="26" spans="2:8" ht="21" x14ac:dyDescent="1">
      <c r="B26" s="12">
        <v>14</v>
      </c>
      <c r="C26" s="13"/>
      <c r="D26" s="13"/>
      <c r="F26" s="1">
        <v>39</v>
      </c>
    </row>
    <row r="27" spans="2:8" ht="21" x14ac:dyDescent="1">
      <c r="B27" s="12">
        <v>15</v>
      </c>
      <c r="C27" s="13"/>
      <c r="D27" s="13"/>
      <c r="F27" s="1">
        <v>40</v>
      </c>
    </row>
    <row r="28" spans="2:8" ht="21" x14ac:dyDescent="1">
      <c r="B28" s="12">
        <v>16</v>
      </c>
      <c r="C28" s="13"/>
      <c r="D28" s="13"/>
      <c r="F28" s="1">
        <v>41</v>
      </c>
    </row>
    <row r="29" spans="2:8" ht="21" x14ac:dyDescent="1">
      <c r="B29" s="12">
        <v>17</v>
      </c>
      <c r="F29" s="1">
        <v>42</v>
      </c>
    </row>
    <row r="30" spans="2:8" ht="21" x14ac:dyDescent="1">
      <c r="B30" s="12">
        <v>18</v>
      </c>
      <c r="F30" s="1">
        <v>43</v>
      </c>
    </row>
    <row r="31" spans="2:8" ht="22" customHeight="1" x14ac:dyDescent="0.65">
      <c r="B31" s="6">
        <v>19</v>
      </c>
      <c r="F31" s="1">
        <v>44</v>
      </c>
    </row>
    <row r="32" spans="2:8" x14ac:dyDescent="0.65">
      <c r="B32" s="6">
        <v>20</v>
      </c>
      <c r="F32" s="1">
        <v>45</v>
      </c>
    </row>
    <row r="33" spans="2:6" x14ac:dyDescent="0.65">
      <c r="B33" s="6">
        <v>21</v>
      </c>
      <c r="F33" s="1">
        <v>46</v>
      </c>
    </row>
    <row r="34" spans="2:6" x14ac:dyDescent="0.65">
      <c r="B34" s="6">
        <v>22</v>
      </c>
      <c r="F34" s="1">
        <v>47</v>
      </c>
    </row>
    <row r="35" spans="2:6" x14ac:dyDescent="0.65">
      <c r="B35" s="6">
        <v>23</v>
      </c>
      <c r="F35" s="1">
        <v>48</v>
      </c>
    </row>
    <row r="36" spans="2:6" x14ac:dyDescent="0.65">
      <c r="B36" s="6">
        <v>24</v>
      </c>
      <c r="F36" s="1">
        <v>49</v>
      </c>
    </row>
    <row r="37" spans="2:6" x14ac:dyDescent="0.65">
      <c r="B37" s="6">
        <v>25</v>
      </c>
    </row>
  </sheetData>
  <sheetProtection sort="0" autoFilter="0"/>
  <dataConsolidate link="1"/>
  <pageMargins left="0.5" right="0.5" top="2.7" bottom="0.85" header="0.3" footer="0.3"/>
  <pageSetup fitToWidth="0" fitToHeight="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9A014-8DB9-4B92-A728-957A2452C77B}">
  <sheetPr codeName="Sheet5"/>
  <dimension ref="C1:ZX77"/>
  <sheetViews>
    <sheetView zoomScale="40" zoomScaleNormal="40" workbookViewId="0">
      <selection activeCell="G20" sqref="G20"/>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
        <v>63</v>
      </c>
      <c r="M2" s="3"/>
      <c r="N2" s="3"/>
    </row>
    <row r="3" spans="3:700" ht="26.5" x14ac:dyDescent="1.1000000000000001">
      <c r="C3" s="14" t="s">
        <v>113</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
        <v>73</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
        <v>66</v>
      </c>
      <c r="E11" s="17"/>
      <c r="F11" s="15" t="s">
        <v>20</v>
      </c>
      <c r="G11" s="16" t="s">
        <v>69</v>
      </c>
      <c r="M11" s="3"/>
      <c r="N11" s="3"/>
    </row>
    <row r="12" spans="3:700" ht="19.25" x14ac:dyDescent="0.65">
      <c r="C12" s="15" t="s">
        <v>18</v>
      </c>
      <c r="D12" s="21" t="s">
        <v>67</v>
      </c>
      <c r="E12" s="17"/>
      <c r="F12" s="15" t="s">
        <v>21</v>
      </c>
      <c r="G12" s="16" t="s">
        <v>70</v>
      </c>
      <c r="M12" s="3"/>
      <c r="N12" s="3"/>
    </row>
    <row r="13" spans="3:700" ht="19.25" x14ac:dyDescent="0.65">
      <c r="C13" s="15" t="s">
        <v>19</v>
      </c>
      <c r="D13" s="22" t="s">
        <v>68</v>
      </c>
      <c r="E13" s="17"/>
      <c r="F13" s="15" t="s">
        <v>22</v>
      </c>
      <c r="G13" s="16" t="s">
        <v>71</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
        <v>64</v>
      </c>
      <c r="E17" s="17"/>
      <c r="F17" s="15" t="s">
        <v>42</v>
      </c>
      <c r="G17" s="16">
        <v>93</v>
      </c>
      <c r="M17" s="3"/>
      <c r="N17" s="3"/>
    </row>
    <row r="18" spans="3:14" ht="19.25" x14ac:dyDescent="0.65">
      <c r="C18" s="15" t="s">
        <v>11</v>
      </c>
      <c r="D18" s="16" t="s">
        <v>33</v>
      </c>
      <c r="E18" s="17"/>
      <c r="F18" s="15" t="s">
        <v>39</v>
      </c>
      <c r="G18" s="18">
        <v>44593</v>
      </c>
      <c r="M18" s="3"/>
      <c r="N18" s="3"/>
    </row>
    <row r="19" spans="3:14" ht="19.25" x14ac:dyDescent="0.65">
      <c r="C19" s="15" t="s">
        <v>12</v>
      </c>
      <c r="D19" s="16"/>
      <c r="E19" s="17"/>
      <c r="F19" s="15" t="s">
        <v>40</v>
      </c>
      <c r="G19" s="27"/>
      <c r="M19" s="3"/>
      <c r="N19" s="3"/>
    </row>
    <row r="20" spans="3:14" ht="19.25" x14ac:dyDescent="0.65">
      <c r="C20" s="15" t="s">
        <v>38</v>
      </c>
      <c r="D20" s="16" t="s">
        <v>74</v>
      </c>
      <c r="E20" s="17"/>
      <c r="F20" s="15" t="s">
        <v>41</v>
      </c>
      <c r="G20" s="27">
        <v>400000</v>
      </c>
      <c r="M20" s="3"/>
      <c r="N20" s="3"/>
    </row>
    <row r="21" spans="3:14" ht="19.25" x14ac:dyDescent="0.85">
      <c r="C21" s="29" t="s">
        <v>52</v>
      </c>
      <c r="D21" s="28" t="s">
        <v>51</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8145"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518146"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1:ZX77"/>
  <sheetViews>
    <sheetView zoomScale="40" zoomScaleNormal="40" workbookViewId="0">
      <selection activeCell="G20" sqref="G20"/>
    </sheetView>
  </sheetViews>
  <sheetFormatPr defaultColWidth="10.83203125" defaultRowHeight="16" x14ac:dyDescent="0.8"/>
  <cols>
    <col min="1" max="1" width="8.33203125" style="3" customWidth="1"/>
    <col min="2" max="2" width="13" style="3" customWidth="1"/>
    <col min="3" max="3" width="35" style="3" customWidth="1"/>
    <col min="4" max="4" width="56" style="3" customWidth="1"/>
    <col min="5" max="5" width="4.1640625" style="3" customWidth="1"/>
    <col min="6" max="6" width="36.1640625" style="3" bestFit="1" customWidth="1"/>
    <col min="7" max="7" width="56" style="3" customWidth="1"/>
    <col min="8" max="8" width="6" style="3" customWidth="1"/>
    <col min="9" max="9" width="10.83203125" style="3"/>
    <col min="10" max="10" width="4.33203125" style="3" customWidth="1"/>
    <col min="11" max="11" width="9" style="3" bestFit="1" customWidth="1"/>
    <col min="12" max="12" width="3.1640625" style="3" customWidth="1"/>
    <col min="13" max="13" width="3.33203125" style="2" customWidth="1"/>
    <col min="14" max="14" width="10.83203125" style="2"/>
    <col min="15" max="699" width="10.83203125" style="3"/>
    <col min="700" max="700" width="10.83203125" style="3" customWidth="1"/>
    <col min="701" max="16384" width="10.83203125" style="3"/>
  </cols>
  <sheetData>
    <row r="1" spans="3:700" ht="18" customHeight="1" x14ac:dyDescent="0.8">
      <c r="J1" s="7">
        <v>3</v>
      </c>
      <c r="K1" s="23" t="str">
        <f>"out of "&amp;COUNTIF(Fives[Company ID (18 Char)],"*")</f>
        <v>out of 48</v>
      </c>
      <c r="M1" s="3">
        <f>IF(J1+1&lt;=K1,J1+1,"DONE")</f>
        <v>4</v>
      </c>
      <c r="N1" s="3"/>
      <c r="O1" t="s">
        <v>53</v>
      </c>
      <c r="ZX1" s="8"/>
    </row>
    <row r="2" spans="3:700" ht="35" x14ac:dyDescent="1.4">
      <c r="C2" s="10" t="str" cm="1">
        <f t="array" ref="C2">INDEX(Fives[],$J$1,4)</f>
        <v>HeroDevs</v>
      </c>
      <c r="M2" s="3"/>
      <c r="N2" s="3"/>
    </row>
    <row r="3" spans="3:700" ht="26.5" x14ac:dyDescent="1.1000000000000001">
      <c r="C3" s="14" t="str" cm="1">
        <f t="array" ref="C3">"Upgraded by "&amp;INDEX(Fives[Upgraded by Combined],$J$1,1)</f>
        <v>Upgraded by Classic Crew</v>
      </c>
      <c r="M3" s="3"/>
      <c r="N3" s="3"/>
    </row>
    <row r="4" spans="3:700" ht="16" customHeight="1" x14ac:dyDescent="0.65">
      <c r="M4" s="3"/>
      <c r="N4" s="3"/>
    </row>
    <row r="5" spans="3:700" ht="23.75" thickBot="1" x14ac:dyDescent="0.95">
      <c r="C5" s="9" t="s">
        <v>25</v>
      </c>
      <c r="D5" s="4"/>
      <c r="E5" s="4"/>
      <c r="F5" s="4"/>
      <c r="G5" s="4"/>
      <c r="M5" s="3"/>
      <c r="N5" s="3"/>
    </row>
    <row r="6" spans="3:700" ht="12" customHeight="1" thickTop="1" x14ac:dyDescent="0.65">
      <c r="M6" s="3"/>
      <c r="N6" s="3"/>
    </row>
    <row r="7" spans="3:700" ht="63" customHeight="1" x14ac:dyDescent="0.65">
      <c r="C7" s="37" t="str" cm="1">
        <f t="array" ref="C7">IF(INDEX(Fives[],$J$1,29)=0,"",INDEX(Fives[],$J$1,29))</f>
        <v>HeroDevs, LLC is a software development company. Its products include NES Vue 2, NES Angular, AngularJS XLTS, NES Protractor, Endbridge. The company offers Web, Web Development, Architecture, Open Source, End-of-Life, Angular, Vue, Nx, React, Cypress, and AngularJs. It provides services to its clients and business consumers.</v>
      </c>
      <c r="D7" s="38"/>
      <c r="E7" s="38"/>
      <c r="F7" s="38"/>
      <c r="G7" s="39"/>
      <c r="M7" s="3"/>
      <c r="N7" s="3"/>
    </row>
    <row r="8" spans="3:700" ht="15.25" x14ac:dyDescent="0.65">
      <c r="M8" s="3"/>
      <c r="N8" s="3"/>
    </row>
    <row r="9" spans="3:700" ht="23.75" thickBot="1" x14ac:dyDescent="0.95">
      <c r="C9" s="9" t="s">
        <v>37</v>
      </c>
      <c r="D9" s="4"/>
      <c r="E9" s="4"/>
      <c r="F9" s="4"/>
      <c r="G9" s="4"/>
      <c r="M9" s="3"/>
      <c r="N9" s="3"/>
    </row>
    <row r="10" spans="3:700" ht="12" customHeight="1" thickTop="1" x14ac:dyDescent="0.65">
      <c r="M10" s="3"/>
      <c r="N10" s="3"/>
    </row>
    <row r="11" spans="3:700" ht="19.25" x14ac:dyDescent="0.65">
      <c r="C11" s="15" t="s">
        <v>17</v>
      </c>
      <c r="D11" s="16" t="str" cm="1">
        <f t="array" ref="D11">IF(INDEX(Fives[],$J$1,21)=0,"",INDEX(Fives[],$J$1,21))</f>
        <v>$19M of product rev, $10M of services</v>
      </c>
      <c r="E11" s="17"/>
      <c r="F11" s="15" t="s">
        <v>20</v>
      </c>
      <c r="G11" s="16" t="str" cm="1">
        <f t="array" ref="G11">IF(INDEX(Fives[],$J$1,24)=0,"",INDEX(Fives[],$J$1,24))</f>
        <v>recurring product rev. and services</v>
      </c>
      <c r="M11" s="3"/>
      <c r="N11" s="3"/>
    </row>
    <row r="12" spans="3:700" ht="19.25" x14ac:dyDescent="0.65">
      <c r="C12" s="15" t="s">
        <v>18</v>
      </c>
      <c r="D12" s="21" t="str" cm="1">
        <f t="array" ref="D12">IF(INDEX(Fives[],$J$1,22)=0,"",INDEX(Fives[],$J$1,22))</f>
        <v>50%+</v>
      </c>
      <c r="E12" s="17"/>
      <c r="F12" s="15" t="s">
        <v>21</v>
      </c>
      <c r="G12" s="16" t="str" cm="1">
        <f t="array" ref="G12">IF(INDEX(Fives[],$J$1,25)=0,"",INDEX(Fives[],$J$1,25))</f>
        <v>$8M from Album, rest is founder</v>
      </c>
      <c r="M12" s="3"/>
      <c r="N12" s="3"/>
    </row>
    <row r="13" spans="3:700" ht="19.25" x14ac:dyDescent="0.65">
      <c r="C13" s="15" t="s">
        <v>19</v>
      </c>
      <c r="D13" s="22" t="str" cm="1">
        <f t="array" ref="D13">IF(INDEX(Fives[],$J$1,23)=0,"",INDEX(Fives[],$J$1,23))</f>
        <v>$12m of EBITDA</v>
      </c>
      <c r="E13" s="17"/>
      <c r="F13" s="15" t="s">
        <v>22</v>
      </c>
      <c r="G13" s="16" t="str" cm="1">
        <f t="array" ref="G13">IF(INDEX(Fives[],$J$1,26)=0,"",INDEX(Fives[],$J$1,26))</f>
        <v>None</v>
      </c>
      <c r="M13" s="3"/>
      <c r="N13" s="3"/>
    </row>
    <row r="14" spans="3:700" ht="12" customHeight="1" x14ac:dyDescent="0.65">
      <c r="M14" s="3"/>
      <c r="N14" s="3"/>
    </row>
    <row r="15" spans="3:700" ht="23.75" thickBot="1" x14ac:dyDescent="0.95">
      <c r="C15" s="9" t="s">
        <v>43</v>
      </c>
      <c r="D15" s="19"/>
      <c r="E15" s="4"/>
      <c r="F15" s="4"/>
      <c r="G15" s="19"/>
      <c r="M15" s="3"/>
      <c r="N15" s="3"/>
    </row>
    <row r="16" spans="3:700" thickTop="1" x14ac:dyDescent="0.65">
      <c r="D16" s="8"/>
      <c r="G16" s="8"/>
      <c r="M16" s="3"/>
      <c r="N16" s="3"/>
    </row>
    <row r="17" spans="3:14" ht="19.25" x14ac:dyDescent="0.65">
      <c r="C17" s="15" t="s">
        <v>44</v>
      </c>
      <c r="D17" s="16" t="str" cm="1">
        <f t="array" ref="D17">IF(INDEX(Fives[],$J$1,6)="",INDEX(Fives[],$J$1,5),IF(ISNUMBER(FIND(INDEX(Fives[],$J$1,5),INDEX(Fives[],$J$1,6))),INDEX(Fives[],$J$1,6),INDEX(Fives[],$J$1,5)&amp;"; "&amp;INDEX(Fives[],$J$1,6)))</f>
        <v>Ben MacShane</v>
      </c>
      <c r="E17" s="17"/>
      <c r="F17" s="15" t="s">
        <v>42</v>
      </c>
      <c r="G17" s="16" cm="1">
        <f t="array" ref="G17">IF(INDEX(Fives[],$J$1,30)=0,"",INDEX(Fives[],$J$1,30))</f>
        <v>59</v>
      </c>
      <c r="M17" s="3"/>
      <c r="N17" s="3"/>
    </row>
    <row r="18" spans="3:14" ht="19.25" x14ac:dyDescent="0.65">
      <c r="C18" s="15" t="s">
        <v>11</v>
      </c>
      <c r="D18" s="16" t="str" cm="1">
        <f t="array" ref="D18">IF(INDEX(Fives[],$J$1,15)=0,"",INDEX(Fives[],$J$1,15))</f>
        <v>Proprietary</v>
      </c>
      <c r="E18" s="17"/>
      <c r="F18" s="15" t="s">
        <v>39</v>
      </c>
      <c r="G18" s="18" t="str" cm="1">
        <f t="array" ref="G18">IF(INDEX(Fives[],$J$1,32)=0,"",INDEX(Fives[],$J$1,32))</f>
        <v/>
      </c>
      <c r="M18" s="3"/>
      <c r="N18" s="3"/>
    </row>
    <row r="19" spans="3:14" ht="19.25" x14ac:dyDescent="0.65">
      <c r="C19" s="15" t="s">
        <v>12</v>
      </c>
      <c r="D19" s="16" t="str" cm="1">
        <f t="array" ref="D19">IF(INDEX(Fives[],$J$1,16)=0,"",INDEX(Fives[],$J$1,16))</f>
        <v/>
      </c>
      <c r="E19" s="17"/>
      <c r="F19" s="15" t="s">
        <v>40</v>
      </c>
      <c r="G19" s="27" t="str" cm="1">
        <f t="array" ref="G19">IF(INDEX(Fives[],$J$1,31)=0,"",INDEX(Fives[],$J$1,31))</f>
        <v/>
      </c>
      <c r="M19" s="3"/>
      <c r="N19" s="3"/>
    </row>
    <row r="20" spans="3:14" ht="19.25" x14ac:dyDescent="0.65">
      <c r="C20" s="15" t="s">
        <v>38</v>
      </c>
      <c r="D20" s="16" t="str" cm="1">
        <f t="array" ref="D20">IF(INDEX(Fives[],$J$1,35)=0,"",INDEX(Fives[],$J$1,35))</f>
        <v>https://www.herodevs.com</v>
      </c>
      <c r="E20" s="17"/>
      <c r="F20" s="15" t="s">
        <v>41</v>
      </c>
      <c r="G20" s="27" t="str" cm="1">
        <f t="array" ref="G20">IF(INDEX(Fives[],$J$1,33)=0,"",INDEX(Fives[],$J$1,33))</f>
        <v/>
      </c>
      <c r="M20" s="3"/>
      <c r="N20" s="3"/>
    </row>
    <row r="21" spans="3:14" ht="19.25" x14ac:dyDescent="0.85">
      <c r="C21" s="29" t="s">
        <v>52</v>
      </c>
      <c r="D21" s="28" t="str" cm="1">
        <f t="array" ref="D21">IF(INDEX(Fives[],$J$1,36)=0,"",INDEX(Fives[],$J$1,36))</f>
        <v>USA</v>
      </c>
      <c r="M21" s="3"/>
      <c r="N21" s="3"/>
    </row>
    <row r="22" spans="3:14" ht="15.25" x14ac:dyDescent="0.65">
      <c r="M22" s="3"/>
      <c r="N22" s="3"/>
    </row>
    <row r="23" spans="3:14" ht="15.25" x14ac:dyDescent="0.65">
      <c r="M23" s="3"/>
      <c r="N23" s="3"/>
    </row>
    <row r="24" spans="3:14" ht="15.25" x14ac:dyDescent="0.65">
      <c r="M24" s="3"/>
      <c r="N24" s="3"/>
    </row>
    <row r="25" spans="3:14" ht="15.25" x14ac:dyDescent="0.65">
      <c r="M25" s="3"/>
      <c r="N25" s="3"/>
    </row>
    <row r="26" spans="3:14" ht="15.25" x14ac:dyDescent="0.65">
      <c r="M26" s="3"/>
      <c r="N26" s="3"/>
    </row>
    <row r="27" spans="3:14" ht="15.25" x14ac:dyDescent="0.65">
      <c r="M27" s="3"/>
      <c r="N27" s="3"/>
    </row>
    <row r="28" spans="3:14" ht="15.25" x14ac:dyDescent="0.65">
      <c r="M28" s="3"/>
      <c r="N28" s="3"/>
    </row>
    <row r="29" spans="3:14" ht="9" customHeight="1" x14ac:dyDescent="0.65">
      <c r="M29" s="3"/>
      <c r="N29" s="3"/>
    </row>
    <row r="30" spans="3:14" ht="18" customHeight="1" x14ac:dyDescent="0.65">
      <c r="M30" s="3"/>
      <c r="N30" s="3"/>
    </row>
    <row r="31" spans="3:14" ht="15.25" x14ac:dyDescent="0.65">
      <c r="M31" s="3"/>
      <c r="N31" s="3"/>
    </row>
    <row r="32" spans="3:14" ht="15.25" x14ac:dyDescent="0.65">
      <c r="M32" s="3"/>
      <c r="N32" s="3"/>
    </row>
    <row r="33" s="3" customFormat="1" ht="15.25" x14ac:dyDescent="0.65"/>
    <row r="34" s="3" customFormat="1" ht="15.25" x14ac:dyDescent="0.65"/>
    <row r="35" s="3" customFormat="1" ht="15.25" x14ac:dyDescent="0.65"/>
    <row r="36" s="3" customFormat="1" ht="15.25" x14ac:dyDescent="0.65"/>
    <row r="37" s="3" customFormat="1" ht="15.25" x14ac:dyDescent="0.65"/>
    <row r="38" s="3" customFormat="1" ht="15.25" x14ac:dyDescent="0.65"/>
    <row r="39" s="3" customFormat="1" ht="15.25" x14ac:dyDescent="0.65"/>
    <row r="40" s="3" customFormat="1" ht="15.25" x14ac:dyDescent="0.65"/>
    <row r="41" s="3" customFormat="1" ht="15.25" x14ac:dyDescent="0.65"/>
    <row r="42" s="3" customFormat="1" ht="15.25" x14ac:dyDescent="0.65"/>
    <row r="43" s="3" customFormat="1" ht="15.25" x14ac:dyDescent="0.65"/>
    <row r="44" s="3" customFormat="1" ht="15.25" x14ac:dyDescent="0.65"/>
    <row r="45" s="3" customFormat="1" ht="15.25" x14ac:dyDescent="0.65"/>
    <row r="46" s="3" customFormat="1" ht="15.25" x14ac:dyDescent="0.65"/>
    <row r="47" s="3" customFormat="1" ht="15.25" x14ac:dyDescent="0.65"/>
    <row r="48" s="3" customFormat="1" ht="15.25" x14ac:dyDescent="0.65"/>
    <row r="49" s="3" customFormat="1" ht="15.25" x14ac:dyDescent="0.65"/>
    <row r="50" s="3" customFormat="1" ht="15.25" x14ac:dyDescent="0.65"/>
    <row r="51" s="3" customFormat="1" ht="15.25" x14ac:dyDescent="0.65"/>
    <row r="52" s="3" customFormat="1" ht="15.25" x14ac:dyDescent="0.65"/>
    <row r="53" s="3" customFormat="1" ht="15.25" x14ac:dyDescent="0.65"/>
    <row r="54" s="3" customFormat="1" ht="15.25" x14ac:dyDescent="0.65"/>
    <row r="55" s="3" customFormat="1" ht="15.25" x14ac:dyDescent="0.65"/>
    <row r="56" s="3" customFormat="1" ht="15.25" x14ac:dyDescent="0.65"/>
    <row r="57" s="3" customFormat="1" ht="15.25" x14ac:dyDescent="0.65"/>
    <row r="58" s="3" customFormat="1" ht="15.25" x14ac:dyDescent="0.65"/>
    <row r="59" s="3" customFormat="1" ht="15.25" x14ac:dyDescent="0.65"/>
    <row r="60" s="3" customFormat="1" ht="15.25" x14ac:dyDescent="0.65"/>
    <row r="61" s="3" customFormat="1" ht="15.25" x14ac:dyDescent="0.65"/>
    <row r="62" s="3" customFormat="1" ht="15.25" x14ac:dyDescent="0.65"/>
    <row r="63" s="3" customFormat="1" ht="15.25" x14ac:dyDescent="0.65"/>
    <row r="64" s="3" customFormat="1" ht="15.25" x14ac:dyDescent="0.65"/>
    <row r="65" s="3" customFormat="1" ht="15.25" x14ac:dyDescent="0.65"/>
    <row r="66" s="3" customFormat="1" ht="15.25" x14ac:dyDescent="0.65"/>
    <row r="67" s="3" customFormat="1" ht="15.25" x14ac:dyDescent="0.65"/>
    <row r="68" s="3" customFormat="1" ht="15.25" x14ac:dyDescent="0.65"/>
    <row r="69" s="3" customFormat="1" ht="15.25" x14ac:dyDescent="0.65"/>
    <row r="70" s="3" customFormat="1" ht="15.25" x14ac:dyDescent="0.65"/>
    <row r="71" s="3" customFormat="1" ht="15.25" x14ac:dyDescent="0.65"/>
    <row r="72" s="3" customFormat="1" ht="15.25" x14ac:dyDescent="0.65"/>
    <row r="73" s="3" customFormat="1" ht="15.25" x14ac:dyDescent="0.65"/>
    <row r="74" s="3" customFormat="1" ht="15.25" x14ac:dyDescent="0.65"/>
    <row r="75" s="3" customFormat="1" ht="15.25" x14ac:dyDescent="0.65"/>
    <row r="76" s="3" customFormat="1" ht="15.25" x14ac:dyDescent="0.65"/>
    <row r="77" s="3" customFormat="1" ht="15.25" x14ac:dyDescent="0.65"/>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FormatCopy" altText="Run">
                <anchor moveWithCells="1" sizeWithCells="1">
                  <from>
                    <xdr:col>8</xdr:col>
                    <xdr:colOff>701675</xdr:colOff>
                    <xdr:row>1</xdr:row>
                    <xdr:rowOff>161925</xdr:rowOff>
                  </from>
                  <to>
                    <xdr:col>12</xdr:col>
                    <xdr:colOff>184150</xdr:colOff>
                    <xdr:row>2</xdr:row>
                    <xdr:rowOff>98425</xdr:rowOff>
                  </to>
                </anchor>
              </controlPr>
            </control>
          </mc:Choice>
        </mc:AlternateContent>
        <mc:AlternateContent xmlns:mc="http://schemas.openxmlformats.org/markup-compatibility/2006">
          <mc:Choice Requires="x14">
            <control shapeId="3074" r:id="rId4" name="Button 2">
              <controlPr defaultSize="0" print="0" autoFill="0" autoPict="0" macro="[0]!FormatCopyAutomated">
                <anchor moveWithCells="1" sizeWithCells="1">
                  <from>
                    <xdr:col>10</xdr:col>
                    <xdr:colOff>139700</xdr:colOff>
                    <xdr:row>6</xdr:row>
                    <xdr:rowOff>276225</xdr:rowOff>
                  </from>
                  <to>
                    <xdr:col>13</xdr:col>
                    <xdr:colOff>736600</xdr:colOff>
                    <xdr:row>6</xdr:row>
                    <xdr:rowOff>777875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L49"/>
  <sheetViews>
    <sheetView topLeftCell="Z1" zoomScaleNormal="100" workbookViewId="0">
      <pane ySplit="1" topLeftCell="A2" activePane="bottomLeft" state="frozen"/>
      <selection activeCell="G20" sqref="G20"/>
      <selection pane="bottomLeft" activeCell="G20" sqref="G20"/>
    </sheetView>
  </sheetViews>
  <sheetFormatPr defaultColWidth="10.6640625" defaultRowHeight="16" x14ac:dyDescent="0.8"/>
  <cols>
    <col min="1" max="1" width="21.5" customWidth="1"/>
    <col min="2" max="2" width="20.33203125" customWidth="1"/>
    <col min="3" max="3" width="19.33203125" customWidth="1"/>
    <col min="4" max="4" width="23.83203125" customWidth="1"/>
    <col min="5" max="5" width="17.33203125" bestFit="1" customWidth="1"/>
    <col min="6" max="6" width="18" customWidth="1"/>
    <col min="7" max="7" width="23.33203125" customWidth="1"/>
    <col min="8" max="8" width="11.33203125" bestFit="1" customWidth="1"/>
    <col min="9" max="10" width="22.83203125" hidden="1" customWidth="1"/>
    <col min="11" max="11" width="20.33203125" hidden="1" customWidth="1"/>
    <col min="12" max="12" width="15.83203125" hidden="1" customWidth="1"/>
    <col min="13" max="13" width="24" hidden="1" customWidth="1"/>
    <col min="14" max="14" width="18.5" customWidth="1"/>
    <col min="15" max="15" width="22.6640625" customWidth="1"/>
    <col min="16" max="16" width="19.33203125" customWidth="1"/>
    <col min="17" max="17" width="16.5" hidden="1" customWidth="1"/>
    <col min="18" max="18" width="12.5" hidden="1" customWidth="1"/>
    <col min="19" max="19" width="21.1640625" hidden="1" customWidth="1"/>
    <col min="20" max="20" width="30.5" hidden="1" customWidth="1"/>
    <col min="21" max="21" width="26" customWidth="1"/>
    <col min="22" max="22" width="13.6640625" customWidth="1"/>
    <col min="23" max="23" width="23.1640625" customWidth="1"/>
    <col min="24" max="24" width="15" customWidth="1"/>
    <col min="25" max="25" width="18.5" customWidth="1"/>
    <col min="26" max="26" width="21.6640625" customWidth="1"/>
    <col min="27" max="27" width="21.83203125" hidden="1" customWidth="1"/>
    <col min="28" max="28" width="25.5" hidden="1" customWidth="1"/>
    <col min="29" max="29" width="25.6640625" customWidth="1"/>
    <col min="30" max="30" width="22.5" customWidth="1"/>
    <col min="31" max="31" width="19.5" customWidth="1"/>
    <col min="32" max="32" width="12.83203125" customWidth="1"/>
    <col min="33" max="33" width="16.33203125" customWidth="1"/>
    <col min="34" max="34" width="18.33203125" customWidth="1"/>
    <col min="35" max="36" width="22.83203125" customWidth="1"/>
    <col min="37" max="37" width="19.5" bestFit="1" customWidth="1"/>
    <col min="38" max="38" width="35.33203125" bestFit="1" customWidth="1"/>
    <col min="40" max="40" width="11.83203125" customWidth="1"/>
  </cols>
  <sheetData>
    <row r="1" spans="1:38" x14ac:dyDescent="0.8">
      <c r="A1" t="s">
        <v>0</v>
      </c>
      <c r="B1" t="s">
        <v>1</v>
      </c>
      <c r="C1" t="s">
        <v>2</v>
      </c>
      <c r="D1" t="s">
        <v>3</v>
      </c>
      <c r="E1" t="s">
        <v>45</v>
      </c>
      <c r="F1" t="s">
        <v>36</v>
      </c>
      <c r="G1" s="20" t="s">
        <v>35</v>
      </c>
      <c r="H1" t="s">
        <v>4</v>
      </c>
      <c r="I1" t="s">
        <v>5</v>
      </c>
      <c r="J1" t="s">
        <v>6</v>
      </c>
      <c r="K1" t="s">
        <v>7</v>
      </c>
      <c r="L1" t="s">
        <v>8</v>
      </c>
      <c r="M1" t="s">
        <v>9</v>
      </c>
      <c r="N1" t="s">
        <v>10</v>
      </c>
      <c r="O1" s="20" t="s">
        <v>11</v>
      </c>
      <c r="P1" s="20"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38</v>
      </c>
      <c r="AJ1" t="s">
        <v>50</v>
      </c>
      <c r="AK1" s="20" t="s">
        <v>47</v>
      </c>
      <c r="AL1" s="20" t="s">
        <v>46</v>
      </c>
    </row>
    <row r="2" spans="1:38" x14ac:dyDescent="0.8">
      <c r="A2" t="s">
        <v>60</v>
      </c>
      <c r="B2" t="s">
        <v>61</v>
      </c>
      <c r="C2" t="s">
        <v>62</v>
      </c>
      <c r="D2" t="s">
        <v>63</v>
      </c>
      <c r="E2" t="s">
        <v>64</v>
      </c>
      <c r="G2" t="s">
        <v>64</v>
      </c>
      <c r="H2" s="31">
        <v>45348</v>
      </c>
      <c r="I2" t="s">
        <v>55</v>
      </c>
      <c r="J2" t="s">
        <v>31</v>
      </c>
      <c r="K2" t="s">
        <v>32</v>
      </c>
      <c r="N2" t="s">
        <v>31</v>
      </c>
      <c r="O2" t="s">
        <v>33</v>
      </c>
      <c r="Q2">
        <v>0</v>
      </c>
      <c r="R2" s="31">
        <v>45348</v>
      </c>
      <c r="S2" t="s">
        <v>65</v>
      </c>
      <c r="T2" s="31">
        <v>45348</v>
      </c>
      <c r="U2" t="s">
        <v>66</v>
      </c>
      <c r="V2" t="s">
        <v>67</v>
      </c>
      <c r="W2" t="s">
        <v>68</v>
      </c>
      <c r="X2" t="s">
        <v>69</v>
      </c>
      <c r="Y2" t="s">
        <v>70</v>
      </c>
      <c r="Z2" t="s">
        <v>71</v>
      </c>
      <c r="AA2" t="s">
        <v>72</v>
      </c>
      <c r="AC2" t="s">
        <v>73</v>
      </c>
      <c r="AD2">
        <v>93</v>
      </c>
      <c r="AE2">
        <v>0</v>
      </c>
      <c r="AF2" s="31">
        <v>44593</v>
      </c>
      <c r="AG2">
        <v>400000</v>
      </c>
      <c r="AH2" t="s">
        <v>57</v>
      </c>
      <c r="AI2" t="s">
        <v>74</v>
      </c>
      <c r="AJ2" t="s">
        <v>51</v>
      </c>
      <c r="AK2">
        <f>COUNTIF(Fives[Upgraded By],Fives[[#This Row],[Upgraded By]])</f>
        <v>37</v>
      </c>
      <c r="AL2" t="str">
        <f>IF(Fives[[#This Row],[Split Credit]]="",Fives[[#This Row],[Upgraded By]],IF(ISNUMBER(FIND(Fives[[#This Row],[Upgraded By]],Fives[[#This Row],[Split Credit]])),Fives[[#This Row],[Split Credit]],Fives[[#This Row],[Upgraded By]]&amp;"; "&amp;Fives[[#This Row],[Split Credit]]))</f>
        <v>Ben MacShane</v>
      </c>
    </row>
    <row r="3" spans="1:38" x14ac:dyDescent="0.8">
      <c r="A3" t="s">
        <v>75</v>
      </c>
      <c r="B3" t="s">
        <v>76</v>
      </c>
      <c r="C3" t="s">
        <v>77</v>
      </c>
      <c r="D3" t="s">
        <v>78</v>
      </c>
      <c r="E3" t="s">
        <v>79</v>
      </c>
      <c r="G3" t="s">
        <v>64</v>
      </c>
      <c r="H3" s="31">
        <v>45350</v>
      </c>
      <c r="I3" t="s">
        <v>49</v>
      </c>
      <c r="J3" t="s">
        <v>31</v>
      </c>
      <c r="K3" t="s">
        <v>32</v>
      </c>
      <c r="N3" t="s">
        <v>31</v>
      </c>
      <c r="O3" t="s">
        <v>33</v>
      </c>
      <c r="Q3">
        <v>0</v>
      </c>
      <c r="R3" s="31">
        <v>45350</v>
      </c>
      <c r="S3" t="s">
        <v>80</v>
      </c>
      <c r="T3" s="31">
        <v>45350</v>
      </c>
      <c r="U3" t="s">
        <v>81</v>
      </c>
      <c r="V3" t="s">
        <v>82</v>
      </c>
      <c r="W3" t="s">
        <v>83</v>
      </c>
      <c r="X3" t="s">
        <v>84</v>
      </c>
      <c r="Y3" t="s">
        <v>85</v>
      </c>
      <c r="Z3" t="s">
        <v>86</v>
      </c>
      <c r="AC3" t="s">
        <v>87</v>
      </c>
      <c r="AD3">
        <v>109</v>
      </c>
      <c r="AH3" t="s">
        <v>34</v>
      </c>
      <c r="AI3" t="s">
        <v>88</v>
      </c>
      <c r="AJ3" t="s">
        <v>51</v>
      </c>
      <c r="AK3">
        <f>COUNTIF(Fives[Upgraded By],Fives[[#This Row],[Upgraded By]])</f>
        <v>37</v>
      </c>
      <c r="AL3" t="str">
        <f>IF(Fives[[#This Row],[Split Credit]]="",Fives[[#This Row],[Upgraded By]],IF(ISNUMBER(FIND(Fives[[#This Row],[Upgraded By]],Fives[[#This Row],[Split Credit]])),Fives[[#This Row],[Split Credit]],Fives[[#This Row],[Upgraded By]]&amp;"; "&amp;Fives[[#This Row],[Split Credit]]))</f>
        <v>Ben MacShane</v>
      </c>
    </row>
    <row r="4" spans="1:38" x14ac:dyDescent="0.8">
      <c r="A4" t="s">
        <v>89</v>
      </c>
      <c r="B4" t="s">
        <v>90</v>
      </c>
      <c r="C4" t="s">
        <v>91</v>
      </c>
      <c r="D4" t="s">
        <v>92</v>
      </c>
      <c r="E4" t="s">
        <v>64</v>
      </c>
      <c r="G4" t="s">
        <v>163</v>
      </c>
      <c r="H4" s="31">
        <v>45354</v>
      </c>
      <c r="I4" t="s">
        <v>49</v>
      </c>
      <c r="J4" t="s">
        <v>31</v>
      </c>
      <c r="K4" t="s">
        <v>32</v>
      </c>
      <c r="N4" t="s">
        <v>31</v>
      </c>
      <c r="O4" t="s">
        <v>33</v>
      </c>
      <c r="Q4">
        <v>0</v>
      </c>
      <c r="R4" s="31">
        <v>45352</v>
      </c>
      <c r="S4" t="s">
        <v>93</v>
      </c>
      <c r="T4" s="31">
        <v>45352</v>
      </c>
      <c r="U4" t="s">
        <v>94</v>
      </c>
      <c r="V4" t="s">
        <v>95</v>
      </c>
      <c r="W4" t="s">
        <v>96</v>
      </c>
      <c r="X4" t="s">
        <v>97</v>
      </c>
      <c r="Y4" t="s">
        <v>98</v>
      </c>
      <c r="Z4" t="s">
        <v>56</v>
      </c>
      <c r="AC4" t="s">
        <v>99</v>
      </c>
      <c r="AD4">
        <v>59</v>
      </c>
      <c r="AH4" t="s">
        <v>34</v>
      </c>
      <c r="AI4" t="s">
        <v>100</v>
      </c>
      <c r="AJ4" t="s">
        <v>51</v>
      </c>
      <c r="AK4">
        <f>COUNTIF(Fives[Upgraded By],Fives[[#This Row],[Upgraded By]])</f>
        <v>1</v>
      </c>
      <c r="AL4" t="str">
        <f>IF(Fives[[#This Row],[Split Credit]]="",Fives[[#This Row],[Upgraded By]],IF(ISNUMBER(FIND(Fives[[#This Row],[Upgraded By]],Fives[[#This Row],[Split Credit]])),Fives[[#This Row],[Split Credit]],Fives[[#This Row],[Upgraded By]]&amp;"; "&amp;Fives[[#This Row],[Split Credit]]))</f>
        <v>Classic Crew</v>
      </c>
    </row>
    <row r="5" spans="1:38" x14ac:dyDescent="0.8">
      <c r="A5" t="s">
        <v>101</v>
      </c>
      <c r="B5" t="s">
        <v>102</v>
      </c>
      <c r="C5" t="s">
        <v>103</v>
      </c>
      <c r="D5" t="s">
        <v>104</v>
      </c>
      <c r="E5" t="s">
        <v>64</v>
      </c>
      <c r="G5" t="s">
        <v>64</v>
      </c>
      <c r="H5" s="31">
        <v>45354</v>
      </c>
      <c r="I5" t="s">
        <v>55</v>
      </c>
      <c r="J5" t="s">
        <v>31</v>
      </c>
      <c r="K5" t="s">
        <v>32</v>
      </c>
      <c r="N5" t="s">
        <v>31</v>
      </c>
      <c r="O5" t="s">
        <v>33</v>
      </c>
      <c r="Q5">
        <v>0</v>
      </c>
      <c r="R5" s="31">
        <v>45351</v>
      </c>
      <c r="S5" t="s">
        <v>105</v>
      </c>
      <c r="T5" s="31">
        <v>45351</v>
      </c>
      <c r="U5" t="s">
        <v>59</v>
      </c>
      <c r="V5" t="s">
        <v>106</v>
      </c>
      <c r="W5" t="s">
        <v>107</v>
      </c>
      <c r="X5" t="s">
        <v>108</v>
      </c>
      <c r="Y5" t="s">
        <v>109</v>
      </c>
      <c r="Z5" t="s">
        <v>58</v>
      </c>
      <c r="AC5" t="s">
        <v>110</v>
      </c>
      <c r="AD5">
        <v>104</v>
      </c>
      <c r="AH5" t="s">
        <v>34</v>
      </c>
      <c r="AI5" t="s">
        <v>111</v>
      </c>
      <c r="AJ5" t="s">
        <v>51</v>
      </c>
      <c r="AK5">
        <f>COUNTIF(Fives[Upgraded By],Fives[[#This Row],[Upgraded By]])</f>
        <v>37</v>
      </c>
      <c r="AL5" t="str">
        <f>IF(Fives[[#This Row],[Split Credit]]="",Fives[[#This Row],[Upgraded By]],IF(ISNUMBER(FIND(Fives[[#This Row],[Upgraded By]],Fives[[#This Row],[Split Credit]])),Fives[[#This Row],[Split Credit]],Fives[[#This Row],[Upgraded By]]&amp;"; "&amp;Fives[[#This Row],[Split Credit]]))</f>
        <v>Ben MacShane</v>
      </c>
    </row>
    <row r="6" spans="1:38" x14ac:dyDescent="0.8">
      <c r="A6" t="s">
        <v>60</v>
      </c>
      <c r="B6" t="s">
        <v>61</v>
      </c>
      <c r="C6" t="s">
        <v>62</v>
      </c>
      <c r="D6" t="s">
        <v>114</v>
      </c>
      <c r="E6" s="33" t="s">
        <v>64</v>
      </c>
      <c r="G6" t="s">
        <v>166</v>
      </c>
      <c r="H6" s="34">
        <v>45348</v>
      </c>
      <c r="I6" t="s">
        <v>55</v>
      </c>
      <c r="J6" t="s">
        <v>31</v>
      </c>
      <c r="K6" t="s">
        <v>32</v>
      </c>
      <c r="N6" t="s">
        <v>31</v>
      </c>
      <c r="O6" t="s">
        <v>33</v>
      </c>
      <c r="Q6">
        <v>0</v>
      </c>
      <c r="R6" s="34">
        <v>45348</v>
      </c>
      <c r="S6" t="s">
        <v>65</v>
      </c>
      <c r="T6" s="34">
        <v>45348</v>
      </c>
      <c r="U6" t="s">
        <v>66</v>
      </c>
      <c r="V6" s="35" t="s">
        <v>67</v>
      </c>
      <c r="W6" t="s">
        <v>68</v>
      </c>
      <c r="X6" t="s">
        <v>69</v>
      </c>
      <c r="Y6" t="s">
        <v>70</v>
      </c>
      <c r="Z6" t="s">
        <v>71</v>
      </c>
      <c r="AA6" t="s">
        <v>72</v>
      </c>
      <c r="AC6" t="s">
        <v>73</v>
      </c>
      <c r="AD6">
        <v>93</v>
      </c>
      <c r="AE6">
        <v>0</v>
      </c>
      <c r="AF6" s="34">
        <v>44593</v>
      </c>
      <c r="AG6">
        <v>400000</v>
      </c>
      <c r="AH6" t="s">
        <v>57</v>
      </c>
      <c r="AI6" t="s">
        <v>74</v>
      </c>
      <c r="AJ6" t="s">
        <v>51</v>
      </c>
      <c r="AK6">
        <f>COUNTIF(Fives[Upgraded By],Fives[[#This Row],[Upgraded By]])</f>
        <v>1</v>
      </c>
      <c r="AL6" t="str">
        <f>IF(Fives[[#This Row],[Split Credit]]="",Fives[[#This Row],[Upgraded By]],IF(ISNUMBER(FIND(Fives[[#This Row],[Upgraded By]],Fives[[#This Row],[Split Credit]])),Fives[[#This Row],[Split Credit]],Fives[[#This Row],[Upgraded By]]&amp;"; "&amp;Fives[[#This Row],[Split Credit]]))</f>
        <v>Apples</v>
      </c>
    </row>
    <row r="7" spans="1:38" x14ac:dyDescent="0.8">
      <c r="A7" t="s">
        <v>75</v>
      </c>
      <c r="B7" t="s">
        <v>76</v>
      </c>
      <c r="C7" t="s">
        <v>77</v>
      </c>
      <c r="D7" t="s">
        <v>115</v>
      </c>
      <c r="E7" s="33" t="s">
        <v>79</v>
      </c>
      <c r="G7" t="s">
        <v>167</v>
      </c>
      <c r="H7" s="34">
        <v>45350</v>
      </c>
      <c r="I7" t="s">
        <v>49</v>
      </c>
      <c r="J7" t="s">
        <v>31</v>
      </c>
      <c r="K7" t="s">
        <v>32</v>
      </c>
      <c r="N7" t="s">
        <v>31</v>
      </c>
      <c r="O7" t="s">
        <v>33</v>
      </c>
      <c r="Q7">
        <v>0</v>
      </c>
      <c r="R7" s="34">
        <v>45350</v>
      </c>
      <c r="S7" t="s">
        <v>80</v>
      </c>
      <c r="T7" s="34">
        <v>45350</v>
      </c>
      <c r="U7" t="s">
        <v>81</v>
      </c>
      <c r="V7" s="35" t="s">
        <v>82</v>
      </c>
      <c r="W7" t="s">
        <v>83</v>
      </c>
      <c r="X7" t="s">
        <v>84</v>
      </c>
      <c r="Y7" t="s">
        <v>85</v>
      </c>
      <c r="Z7" t="s">
        <v>86</v>
      </c>
      <c r="AC7" t="s">
        <v>87</v>
      </c>
      <c r="AD7">
        <v>109</v>
      </c>
      <c r="AF7" s="34"/>
      <c r="AH7" t="s">
        <v>34</v>
      </c>
      <c r="AI7" t="s">
        <v>88</v>
      </c>
      <c r="AJ7" t="s">
        <v>51</v>
      </c>
      <c r="AK7">
        <f>COUNTIF(Fives[Upgraded By],Fives[[#This Row],[Upgraded By]])</f>
        <v>1</v>
      </c>
      <c r="AL7" t="str">
        <f>IF(Fives[[#This Row],[Split Credit]]="",Fives[[#This Row],[Upgraded By]],IF(ISNUMBER(FIND(Fives[[#This Row],[Upgraded By]],Fives[[#This Row],[Split Credit]])),Fives[[#This Row],[Split Credit]],Fives[[#This Row],[Upgraded By]]&amp;"; "&amp;Fives[[#This Row],[Split Credit]]))</f>
        <v>Bananas</v>
      </c>
    </row>
    <row r="8" spans="1:38" x14ac:dyDescent="0.8">
      <c r="A8" t="s">
        <v>89</v>
      </c>
      <c r="B8" t="s">
        <v>90</v>
      </c>
      <c r="C8" t="s">
        <v>91</v>
      </c>
      <c r="D8" t="s">
        <v>116</v>
      </c>
      <c r="E8" s="33" t="s">
        <v>64</v>
      </c>
      <c r="G8" t="s">
        <v>64</v>
      </c>
      <c r="H8" s="34">
        <v>45354</v>
      </c>
      <c r="I8" t="s">
        <v>49</v>
      </c>
      <c r="J8" t="s">
        <v>31</v>
      </c>
      <c r="K8" t="s">
        <v>32</v>
      </c>
      <c r="N8" t="s">
        <v>31</v>
      </c>
      <c r="O8" t="s">
        <v>33</v>
      </c>
      <c r="Q8">
        <v>0</v>
      </c>
      <c r="R8" s="34">
        <v>45352</v>
      </c>
      <c r="S8" t="s">
        <v>93</v>
      </c>
      <c r="T8" s="34">
        <v>45352</v>
      </c>
      <c r="U8" t="s">
        <v>94</v>
      </c>
      <c r="V8" s="35" t="s">
        <v>95</v>
      </c>
      <c r="W8" t="s">
        <v>96</v>
      </c>
      <c r="X8" t="s">
        <v>97</v>
      </c>
      <c r="Y8" t="s">
        <v>98</v>
      </c>
      <c r="Z8" t="s">
        <v>56</v>
      </c>
      <c r="AC8" t="s">
        <v>99</v>
      </c>
      <c r="AD8">
        <v>59</v>
      </c>
      <c r="AF8" s="34"/>
      <c r="AH8" t="s">
        <v>34</v>
      </c>
      <c r="AI8" t="s">
        <v>100</v>
      </c>
      <c r="AJ8" t="s">
        <v>51</v>
      </c>
      <c r="AK8">
        <f>COUNTIF(Fives[Upgraded By],Fives[[#This Row],[Upgraded By]])</f>
        <v>37</v>
      </c>
      <c r="AL8" t="str">
        <f>IF(Fives[[#This Row],[Split Credit]]="",Fives[[#This Row],[Upgraded By]],IF(ISNUMBER(FIND(Fives[[#This Row],[Upgraded By]],Fives[[#This Row],[Split Credit]])),Fives[[#This Row],[Split Credit]],Fives[[#This Row],[Upgraded By]]&amp;"; "&amp;Fives[[#This Row],[Split Credit]]))</f>
        <v>Ben MacShane</v>
      </c>
    </row>
    <row r="9" spans="1:38" x14ac:dyDescent="0.8">
      <c r="A9" t="s">
        <v>101</v>
      </c>
      <c r="B9" t="s">
        <v>102</v>
      </c>
      <c r="C9" t="s">
        <v>103</v>
      </c>
      <c r="D9" t="s">
        <v>117</v>
      </c>
      <c r="E9" s="36" t="s">
        <v>64</v>
      </c>
      <c r="G9" t="s">
        <v>64</v>
      </c>
      <c r="H9" s="34">
        <v>45354</v>
      </c>
      <c r="I9" t="s">
        <v>55</v>
      </c>
      <c r="J9" t="s">
        <v>31</v>
      </c>
      <c r="K9" t="s">
        <v>32</v>
      </c>
      <c r="N9" t="s">
        <v>31</v>
      </c>
      <c r="O9" t="s">
        <v>33</v>
      </c>
      <c r="Q9">
        <v>0</v>
      </c>
      <c r="R9" s="34">
        <v>45351</v>
      </c>
      <c r="S9" t="s">
        <v>105</v>
      </c>
      <c r="T9" s="34">
        <v>45351</v>
      </c>
      <c r="U9" t="s">
        <v>59</v>
      </c>
      <c r="V9" s="35" t="s">
        <v>106</v>
      </c>
      <c r="W9" t="s">
        <v>107</v>
      </c>
      <c r="X9" t="s">
        <v>108</v>
      </c>
      <c r="Y9" t="s">
        <v>109</v>
      </c>
      <c r="Z9" t="s">
        <v>58</v>
      </c>
      <c r="AC9" t="s">
        <v>110</v>
      </c>
      <c r="AD9">
        <v>104</v>
      </c>
      <c r="AF9" s="34"/>
      <c r="AH9" t="s">
        <v>34</v>
      </c>
      <c r="AI9" t="s">
        <v>111</v>
      </c>
      <c r="AJ9" t="s">
        <v>51</v>
      </c>
      <c r="AK9">
        <f>COUNTIF(Fives[Upgraded By],Fives[[#This Row],[Upgraded By]])</f>
        <v>37</v>
      </c>
      <c r="AL9" t="str">
        <f>IF(Fives[[#This Row],[Split Credit]]="",Fives[[#This Row],[Upgraded By]],IF(ISNUMBER(FIND(Fives[[#This Row],[Upgraded By]],Fives[[#This Row],[Split Credit]])),Fives[[#This Row],[Split Credit]],Fives[[#This Row],[Upgraded By]]&amp;"; "&amp;Fives[[#This Row],[Split Credit]]))</f>
        <v>Ben MacShane</v>
      </c>
    </row>
    <row r="10" spans="1:38" x14ac:dyDescent="0.8">
      <c r="A10" t="s">
        <v>60</v>
      </c>
      <c r="B10" t="s">
        <v>61</v>
      </c>
      <c r="C10" t="s">
        <v>62</v>
      </c>
      <c r="D10" t="s">
        <v>118</v>
      </c>
      <c r="E10" s="33" t="s">
        <v>64</v>
      </c>
      <c r="G10" t="s">
        <v>164</v>
      </c>
      <c r="H10" s="34">
        <v>45348</v>
      </c>
      <c r="I10" t="s">
        <v>55</v>
      </c>
      <c r="J10" t="s">
        <v>31</v>
      </c>
      <c r="K10" t="s">
        <v>32</v>
      </c>
      <c r="N10" t="s">
        <v>31</v>
      </c>
      <c r="O10" t="s">
        <v>33</v>
      </c>
      <c r="Q10">
        <v>0</v>
      </c>
      <c r="R10" s="34">
        <v>45348</v>
      </c>
      <c r="S10" t="s">
        <v>65</v>
      </c>
      <c r="T10" s="34">
        <v>45348</v>
      </c>
      <c r="U10" t="s">
        <v>66</v>
      </c>
      <c r="V10" s="35" t="s">
        <v>67</v>
      </c>
      <c r="W10" t="s">
        <v>68</v>
      </c>
      <c r="X10" t="s">
        <v>69</v>
      </c>
      <c r="Y10" t="s">
        <v>70</v>
      </c>
      <c r="Z10" t="s">
        <v>71</v>
      </c>
      <c r="AA10" t="s">
        <v>72</v>
      </c>
      <c r="AC10" t="s">
        <v>73</v>
      </c>
      <c r="AD10">
        <v>93</v>
      </c>
      <c r="AE10">
        <v>0</v>
      </c>
      <c r="AF10" s="34">
        <v>44593</v>
      </c>
      <c r="AG10">
        <v>400000</v>
      </c>
      <c r="AH10" t="s">
        <v>57</v>
      </c>
      <c r="AI10" t="s">
        <v>74</v>
      </c>
      <c r="AJ10" t="s">
        <v>51</v>
      </c>
      <c r="AK10">
        <f>COUNTIF(Fives[Upgraded By],Fives[[#This Row],[Upgraded By]])</f>
        <v>1</v>
      </c>
      <c r="AL10" t="str">
        <f>IF(Fives[[#This Row],[Split Credit]]="",Fives[[#This Row],[Upgraded By]],IF(ISNUMBER(FIND(Fives[[#This Row],[Upgraded By]],Fives[[#This Row],[Split Credit]])),Fives[[#This Row],[Split Credit]],Fives[[#This Row],[Upgraded By]]&amp;"; "&amp;Fives[[#This Row],[Split Credit]]))</f>
        <v>Yell Out For Me!</v>
      </c>
    </row>
    <row r="11" spans="1:38" x14ac:dyDescent="0.8">
      <c r="A11" t="s">
        <v>75</v>
      </c>
      <c r="B11" t="s">
        <v>76</v>
      </c>
      <c r="C11" t="s">
        <v>77</v>
      </c>
      <c r="D11" t="s">
        <v>119</v>
      </c>
      <c r="E11" s="33" t="s">
        <v>79</v>
      </c>
      <c r="G11" t="s">
        <v>165</v>
      </c>
      <c r="H11" s="34">
        <v>45350</v>
      </c>
      <c r="I11" t="s">
        <v>49</v>
      </c>
      <c r="J11" t="s">
        <v>31</v>
      </c>
      <c r="K11" t="s">
        <v>32</v>
      </c>
      <c r="N11" t="s">
        <v>31</v>
      </c>
      <c r="O11" t="s">
        <v>33</v>
      </c>
      <c r="Q11">
        <v>0</v>
      </c>
      <c r="R11" s="34">
        <v>45350</v>
      </c>
      <c r="S11" t="s">
        <v>80</v>
      </c>
      <c r="T11" s="34">
        <v>45350</v>
      </c>
      <c r="U11" t="s">
        <v>81</v>
      </c>
      <c r="V11" s="35" t="s">
        <v>82</v>
      </c>
      <c r="W11" t="s">
        <v>83</v>
      </c>
      <c r="X11" t="s">
        <v>84</v>
      </c>
      <c r="Y11" t="s">
        <v>85</v>
      </c>
      <c r="Z11" t="s">
        <v>86</v>
      </c>
      <c r="AC11" t="s">
        <v>87</v>
      </c>
      <c r="AD11">
        <v>109</v>
      </c>
      <c r="AF11" s="34"/>
      <c r="AH11" t="s">
        <v>34</v>
      </c>
      <c r="AI11" t="s">
        <v>88</v>
      </c>
      <c r="AJ11" t="s">
        <v>51</v>
      </c>
      <c r="AK11">
        <f>COUNTIF(Fives[Upgraded By],Fives[[#This Row],[Upgraded By]])</f>
        <v>1</v>
      </c>
      <c r="AL11" t="str">
        <f>IF(Fives[[#This Row],[Split Credit]]="",Fives[[#This Row],[Upgraded By]],IF(ISNUMBER(FIND(Fives[[#This Row],[Upgraded By]],Fives[[#This Row],[Split Credit]])),Fives[[#This Row],[Split Credit]],Fives[[#This Row],[Upgraded By]]&amp;"; "&amp;Fives[[#This Row],[Split Credit]]))</f>
        <v>Blend in Ben</v>
      </c>
    </row>
    <row r="12" spans="1:38" x14ac:dyDescent="0.8">
      <c r="A12" t="s">
        <v>89</v>
      </c>
      <c r="B12" t="s">
        <v>90</v>
      </c>
      <c r="C12" t="s">
        <v>91</v>
      </c>
      <c r="D12" t="s">
        <v>120</v>
      </c>
      <c r="E12" s="33" t="s">
        <v>64</v>
      </c>
      <c r="G12" t="s">
        <v>64</v>
      </c>
      <c r="H12" s="34">
        <v>45354</v>
      </c>
      <c r="I12" t="s">
        <v>49</v>
      </c>
      <c r="J12" t="s">
        <v>31</v>
      </c>
      <c r="K12" t="s">
        <v>32</v>
      </c>
      <c r="N12" t="s">
        <v>31</v>
      </c>
      <c r="O12" t="s">
        <v>33</v>
      </c>
      <c r="Q12">
        <v>0</v>
      </c>
      <c r="R12" s="34">
        <v>45352</v>
      </c>
      <c r="S12" t="s">
        <v>93</v>
      </c>
      <c r="T12" s="34">
        <v>45352</v>
      </c>
      <c r="U12" t="s">
        <v>94</v>
      </c>
      <c r="V12" s="35" t="s">
        <v>95</v>
      </c>
      <c r="W12" t="s">
        <v>96</v>
      </c>
      <c r="X12" t="s">
        <v>97</v>
      </c>
      <c r="Y12" t="s">
        <v>98</v>
      </c>
      <c r="Z12" t="s">
        <v>56</v>
      </c>
      <c r="AC12" t="s">
        <v>99</v>
      </c>
      <c r="AD12">
        <v>59</v>
      </c>
      <c r="AF12" s="34"/>
      <c r="AH12" t="s">
        <v>34</v>
      </c>
      <c r="AI12" t="s">
        <v>100</v>
      </c>
      <c r="AJ12" t="s">
        <v>51</v>
      </c>
      <c r="AK12">
        <f>COUNTIF(Fives[Upgraded By],Fives[[#This Row],[Upgraded By]])</f>
        <v>37</v>
      </c>
      <c r="AL12" t="str">
        <f>IF(Fives[[#This Row],[Split Credit]]="",Fives[[#This Row],[Upgraded By]],IF(ISNUMBER(FIND(Fives[[#This Row],[Upgraded By]],Fives[[#This Row],[Split Credit]])),Fives[[#This Row],[Split Credit]],Fives[[#This Row],[Upgraded By]]&amp;"; "&amp;Fives[[#This Row],[Split Credit]]))</f>
        <v>Ben MacShane</v>
      </c>
    </row>
    <row r="13" spans="1:38" x14ac:dyDescent="0.8">
      <c r="A13" t="s">
        <v>101</v>
      </c>
      <c r="B13" t="s">
        <v>102</v>
      </c>
      <c r="C13" t="s">
        <v>103</v>
      </c>
      <c r="D13" t="s">
        <v>121</v>
      </c>
      <c r="E13" s="36" t="s">
        <v>64</v>
      </c>
      <c r="G13" t="s">
        <v>64</v>
      </c>
      <c r="H13" s="34">
        <v>45354</v>
      </c>
      <c r="I13" t="s">
        <v>55</v>
      </c>
      <c r="J13" t="s">
        <v>31</v>
      </c>
      <c r="K13" t="s">
        <v>32</v>
      </c>
      <c r="N13" t="s">
        <v>31</v>
      </c>
      <c r="O13" t="s">
        <v>33</v>
      </c>
      <c r="Q13">
        <v>0</v>
      </c>
      <c r="R13" s="34">
        <v>45351</v>
      </c>
      <c r="S13" t="s">
        <v>105</v>
      </c>
      <c r="T13" s="34">
        <v>45351</v>
      </c>
      <c r="U13" t="s">
        <v>59</v>
      </c>
      <c r="V13" s="35" t="s">
        <v>106</v>
      </c>
      <c r="W13" t="s">
        <v>107</v>
      </c>
      <c r="X13" t="s">
        <v>108</v>
      </c>
      <c r="Y13" t="s">
        <v>109</v>
      </c>
      <c r="Z13" t="s">
        <v>58</v>
      </c>
      <c r="AC13" t="s">
        <v>110</v>
      </c>
      <c r="AD13">
        <v>104</v>
      </c>
      <c r="AF13" s="34"/>
      <c r="AH13" t="s">
        <v>34</v>
      </c>
      <c r="AI13" t="s">
        <v>111</v>
      </c>
      <c r="AJ13" t="s">
        <v>51</v>
      </c>
      <c r="AK13">
        <f>COUNTIF(Fives[Upgraded By],Fives[[#This Row],[Upgraded By]])</f>
        <v>37</v>
      </c>
      <c r="AL13" t="str">
        <f>IF(Fives[[#This Row],[Split Credit]]="",Fives[[#This Row],[Upgraded By]],IF(ISNUMBER(FIND(Fives[[#This Row],[Upgraded By]],Fives[[#This Row],[Split Credit]])),Fives[[#This Row],[Split Credit]],Fives[[#This Row],[Upgraded By]]&amp;"; "&amp;Fives[[#This Row],[Split Credit]]))</f>
        <v>Ben MacShane</v>
      </c>
    </row>
    <row r="14" spans="1:38" x14ac:dyDescent="0.8">
      <c r="A14" t="s">
        <v>60</v>
      </c>
      <c r="B14" t="s">
        <v>61</v>
      </c>
      <c r="C14" t="s">
        <v>62</v>
      </c>
      <c r="D14" t="s">
        <v>122</v>
      </c>
      <c r="E14" s="33" t="s">
        <v>64</v>
      </c>
      <c r="G14" t="s">
        <v>168</v>
      </c>
      <c r="H14" s="34">
        <v>45348</v>
      </c>
      <c r="I14" t="s">
        <v>55</v>
      </c>
      <c r="J14" t="s">
        <v>31</v>
      </c>
      <c r="K14" t="s">
        <v>32</v>
      </c>
      <c r="N14" t="s">
        <v>31</v>
      </c>
      <c r="O14" t="s">
        <v>33</v>
      </c>
      <c r="Q14">
        <v>0</v>
      </c>
      <c r="R14" s="34">
        <v>45348</v>
      </c>
      <c r="S14" t="s">
        <v>65</v>
      </c>
      <c r="T14" s="34">
        <v>45348</v>
      </c>
      <c r="U14" t="s">
        <v>66</v>
      </c>
      <c r="V14" s="35" t="s">
        <v>67</v>
      </c>
      <c r="W14" t="s">
        <v>68</v>
      </c>
      <c r="X14" t="s">
        <v>69</v>
      </c>
      <c r="Y14" t="s">
        <v>70</v>
      </c>
      <c r="Z14" t="s">
        <v>71</v>
      </c>
      <c r="AA14" t="s">
        <v>72</v>
      </c>
      <c r="AC14" t="s">
        <v>73</v>
      </c>
      <c r="AD14">
        <v>93</v>
      </c>
      <c r="AE14">
        <v>0</v>
      </c>
      <c r="AF14" s="34">
        <v>44593</v>
      </c>
      <c r="AG14">
        <v>400000</v>
      </c>
      <c r="AH14" t="s">
        <v>57</v>
      </c>
      <c r="AI14" t="s">
        <v>74</v>
      </c>
      <c r="AJ14" t="s">
        <v>51</v>
      </c>
      <c r="AK14">
        <f>COUNTIF(Fives[Upgraded By],Fives[[#This Row],[Upgraded By]])</f>
        <v>1</v>
      </c>
      <c r="AL14" t="str">
        <f>IF(Fives[[#This Row],[Split Credit]]="",Fives[[#This Row],[Upgraded By]],IF(ISNUMBER(FIND(Fives[[#This Row],[Upgraded By]],Fives[[#This Row],[Split Credit]])),Fives[[#This Row],[Split Credit]],Fives[[#This Row],[Upgraded By]]&amp;"; "&amp;Fives[[#This Row],[Split Credit]]))</f>
        <v>Rhinoceros Rex</v>
      </c>
    </row>
    <row r="15" spans="1:38" x14ac:dyDescent="0.8">
      <c r="A15" t="s">
        <v>75</v>
      </c>
      <c r="B15" t="s">
        <v>76</v>
      </c>
      <c r="C15" t="s">
        <v>77</v>
      </c>
      <c r="D15" t="s">
        <v>124</v>
      </c>
      <c r="E15" s="33" t="s">
        <v>79</v>
      </c>
      <c r="G15" t="s">
        <v>161</v>
      </c>
      <c r="H15" s="34">
        <v>45350</v>
      </c>
      <c r="I15" t="s">
        <v>49</v>
      </c>
      <c r="J15" t="s">
        <v>31</v>
      </c>
      <c r="K15" t="s">
        <v>32</v>
      </c>
      <c r="N15" t="s">
        <v>31</v>
      </c>
      <c r="O15" t="s">
        <v>33</v>
      </c>
      <c r="Q15">
        <v>0</v>
      </c>
      <c r="R15" s="34">
        <v>45350</v>
      </c>
      <c r="S15" t="s">
        <v>80</v>
      </c>
      <c r="T15" s="34">
        <v>45350</v>
      </c>
      <c r="U15" t="s">
        <v>81</v>
      </c>
      <c r="V15" s="35" t="s">
        <v>82</v>
      </c>
      <c r="W15" t="s">
        <v>83</v>
      </c>
      <c r="X15" t="s">
        <v>84</v>
      </c>
      <c r="Y15" t="s">
        <v>85</v>
      </c>
      <c r="Z15" t="s">
        <v>86</v>
      </c>
      <c r="AC15" t="s">
        <v>87</v>
      </c>
      <c r="AD15">
        <v>109</v>
      </c>
      <c r="AF15" s="34"/>
      <c r="AH15" t="s">
        <v>34</v>
      </c>
      <c r="AI15" t="s">
        <v>88</v>
      </c>
      <c r="AJ15" t="s">
        <v>51</v>
      </c>
      <c r="AK15">
        <f>COUNTIF(Fives[Upgraded By],Fives[[#This Row],[Upgraded By]])</f>
        <v>1</v>
      </c>
      <c r="AL15" t="str">
        <f>IF(Fives[[#This Row],[Split Credit]]="",Fives[[#This Row],[Upgraded By]],IF(ISNUMBER(FIND(Fives[[#This Row],[Upgraded By]],Fives[[#This Row],[Split Credit]])),Fives[[#This Row],[Split Credit]],Fives[[#This Row],[Upgraded By]]&amp;"; "&amp;Fives[[#This Row],[Split Credit]]))</f>
        <v>Lemon Levowitz</v>
      </c>
    </row>
    <row r="16" spans="1:38" x14ac:dyDescent="0.8">
      <c r="A16" t="s">
        <v>89</v>
      </c>
      <c r="B16" t="s">
        <v>90</v>
      </c>
      <c r="C16" t="s">
        <v>91</v>
      </c>
      <c r="D16" t="s">
        <v>125</v>
      </c>
      <c r="E16" s="33" t="s">
        <v>64</v>
      </c>
      <c r="G16" t="s">
        <v>64</v>
      </c>
      <c r="H16" s="34">
        <v>45354</v>
      </c>
      <c r="I16" t="s">
        <v>49</v>
      </c>
      <c r="J16" t="s">
        <v>31</v>
      </c>
      <c r="K16" t="s">
        <v>32</v>
      </c>
      <c r="N16" t="s">
        <v>31</v>
      </c>
      <c r="O16" t="s">
        <v>33</v>
      </c>
      <c r="Q16">
        <v>0</v>
      </c>
      <c r="R16" s="34">
        <v>45352</v>
      </c>
      <c r="S16" t="s">
        <v>93</v>
      </c>
      <c r="T16" s="34">
        <v>45352</v>
      </c>
      <c r="U16" t="s">
        <v>94</v>
      </c>
      <c r="V16" s="35" t="s">
        <v>95</v>
      </c>
      <c r="W16" t="s">
        <v>96</v>
      </c>
      <c r="X16" t="s">
        <v>97</v>
      </c>
      <c r="Y16" t="s">
        <v>98</v>
      </c>
      <c r="Z16" t="s">
        <v>56</v>
      </c>
      <c r="AC16" t="s">
        <v>99</v>
      </c>
      <c r="AD16">
        <v>59</v>
      </c>
      <c r="AF16" s="34"/>
      <c r="AH16" t="s">
        <v>34</v>
      </c>
      <c r="AI16" t="s">
        <v>100</v>
      </c>
      <c r="AJ16" t="s">
        <v>51</v>
      </c>
      <c r="AK16">
        <f>COUNTIF(Fives[Upgraded By],Fives[[#This Row],[Upgraded By]])</f>
        <v>37</v>
      </c>
      <c r="AL16" t="str">
        <f>IF(Fives[[#This Row],[Split Credit]]="",Fives[[#This Row],[Upgraded By]],IF(ISNUMBER(FIND(Fives[[#This Row],[Upgraded By]],Fives[[#This Row],[Split Credit]])),Fives[[#This Row],[Split Credit]],Fives[[#This Row],[Upgraded By]]&amp;"; "&amp;Fives[[#This Row],[Split Credit]]))</f>
        <v>Ben MacShane</v>
      </c>
    </row>
    <row r="17" spans="1:38" x14ac:dyDescent="0.8">
      <c r="A17" t="s">
        <v>101</v>
      </c>
      <c r="B17" t="s">
        <v>102</v>
      </c>
      <c r="C17" t="s">
        <v>103</v>
      </c>
      <c r="D17" t="s">
        <v>126</v>
      </c>
      <c r="E17" s="36" t="s">
        <v>64</v>
      </c>
      <c r="G17" t="s">
        <v>64</v>
      </c>
      <c r="H17" s="34">
        <v>45354</v>
      </c>
      <c r="I17" t="s">
        <v>55</v>
      </c>
      <c r="J17" t="s">
        <v>31</v>
      </c>
      <c r="K17" t="s">
        <v>32</v>
      </c>
      <c r="N17" t="s">
        <v>31</v>
      </c>
      <c r="O17" t="s">
        <v>33</v>
      </c>
      <c r="Q17">
        <v>0</v>
      </c>
      <c r="R17" s="34">
        <v>45351</v>
      </c>
      <c r="S17" t="s">
        <v>105</v>
      </c>
      <c r="T17" s="34">
        <v>45351</v>
      </c>
      <c r="U17" t="s">
        <v>59</v>
      </c>
      <c r="V17" s="35" t="s">
        <v>106</v>
      </c>
      <c r="W17" t="s">
        <v>107</v>
      </c>
      <c r="X17" t="s">
        <v>108</v>
      </c>
      <c r="Y17" t="s">
        <v>109</v>
      </c>
      <c r="Z17" t="s">
        <v>58</v>
      </c>
      <c r="AC17" t="s">
        <v>110</v>
      </c>
      <c r="AD17">
        <v>104</v>
      </c>
      <c r="AF17" s="34"/>
      <c r="AH17" t="s">
        <v>34</v>
      </c>
      <c r="AI17" t="s">
        <v>111</v>
      </c>
      <c r="AJ17" t="s">
        <v>51</v>
      </c>
      <c r="AK17">
        <f>COUNTIF(Fives[Upgraded By],Fives[[#This Row],[Upgraded By]])</f>
        <v>37</v>
      </c>
      <c r="AL17" t="str">
        <f>IF(Fives[[#This Row],[Split Credit]]="",Fives[[#This Row],[Upgraded By]],IF(ISNUMBER(FIND(Fives[[#This Row],[Upgraded By]],Fives[[#This Row],[Split Credit]])),Fives[[#This Row],[Split Credit]],Fives[[#This Row],[Upgraded By]]&amp;"; "&amp;Fives[[#This Row],[Split Credit]]))</f>
        <v>Ben MacShane</v>
      </c>
    </row>
    <row r="18" spans="1:38" x14ac:dyDescent="0.8">
      <c r="A18" t="s">
        <v>60</v>
      </c>
      <c r="B18" t="s">
        <v>61</v>
      </c>
      <c r="C18" t="s">
        <v>62</v>
      </c>
      <c r="D18" t="s">
        <v>127</v>
      </c>
      <c r="E18" s="33" t="s">
        <v>64</v>
      </c>
      <c r="G18" t="s">
        <v>64</v>
      </c>
      <c r="H18" s="34">
        <v>45348</v>
      </c>
      <c r="I18" t="s">
        <v>55</v>
      </c>
      <c r="J18" t="s">
        <v>31</v>
      </c>
      <c r="K18" t="s">
        <v>32</v>
      </c>
      <c r="N18" t="s">
        <v>31</v>
      </c>
      <c r="O18" t="s">
        <v>33</v>
      </c>
      <c r="Q18">
        <v>0</v>
      </c>
      <c r="R18" s="34">
        <v>45348</v>
      </c>
      <c r="S18" t="s">
        <v>65</v>
      </c>
      <c r="T18" s="34">
        <v>45348</v>
      </c>
      <c r="U18" t="s">
        <v>66</v>
      </c>
      <c r="V18" s="35" t="s">
        <v>67</v>
      </c>
      <c r="W18" t="s">
        <v>68</v>
      </c>
      <c r="X18" t="s">
        <v>69</v>
      </c>
      <c r="Y18" t="s">
        <v>70</v>
      </c>
      <c r="Z18" t="s">
        <v>71</v>
      </c>
      <c r="AA18" t="s">
        <v>72</v>
      </c>
      <c r="AC18" t="s">
        <v>73</v>
      </c>
      <c r="AD18">
        <v>93</v>
      </c>
      <c r="AE18">
        <v>0</v>
      </c>
      <c r="AF18" s="34">
        <v>44593</v>
      </c>
      <c r="AG18">
        <v>400000</v>
      </c>
      <c r="AH18" t="s">
        <v>57</v>
      </c>
      <c r="AI18" t="s">
        <v>74</v>
      </c>
      <c r="AJ18" t="s">
        <v>51</v>
      </c>
      <c r="AK18">
        <f>COUNTIF(Fives[Upgraded By],Fives[[#This Row],[Upgraded By]])</f>
        <v>37</v>
      </c>
      <c r="AL18" t="str">
        <f>IF(Fives[[#This Row],[Split Credit]]="",Fives[[#This Row],[Upgraded By]],IF(ISNUMBER(FIND(Fives[[#This Row],[Upgraded By]],Fives[[#This Row],[Split Credit]])),Fives[[#This Row],[Split Credit]],Fives[[#This Row],[Upgraded By]]&amp;"; "&amp;Fives[[#This Row],[Split Credit]]))</f>
        <v>Ben MacShane</v>
      </c>
    </row>
    <row r="19" spans="1:38" x14ac:dyDescent="0.8">
      <c r="A19" t="s">
        <v>75</v>
      </c>
      <c r="B19" t="s">
        <v>76</v>
      </c>
      <c r="C19" t="s">
        <v>77</v>
      </c>
      <c r="D19" t="s">
        <v>123</v>
      </c>
      <c r="E19" s="33" t="s">
        <v>79</v>
      </c>
      <c r="G19" t="s">
        <v>160</v>
      </c>
      <c r="H19" s="34">
        <v>45350</v>
      </c>
      <c r="I19" t="s">
        <v>49</v>
      </c>
      <c r="J19" t="s">
        <v>31</v>
      </c>
      <c r="K19" t="s">
        <v>32</v>
      </c>
      <c r="N19" t="s">
        <v>31</v>
      </c>
      <c r="O19" t="s">
        <v>33</v>
      </c>
      <c r="Q19">
        <v>0</v>
      </c>
      <c r="R19" s="34">
        <v>45350</v>
      </c>
      <c r="S19" t="s">
        <v>80</v>
      </c>
      <c r="T19" s="34">
        <v>45350</v>
      </c>
      <c r="U19" t="s">
        <v>81</v>
      </c>
      <c r="V19" s="35" t="s">
        <v>82</v>
      </c>
      <c r="W19" t="s">
        <v>83</v>
      </c>
      <c r="X19" t="s">
        <v>84</v>
      </c>
      <c r="Y19" t="s">
        <v>85</v>
      </c>
      <c r="Z19" t="s">
        <v>86</v>
      </c>
      <c r="AC19" t="s">
        <v>87</v>
      </c>
      <c r="AD19">
        <v>109</v>
      </c>
      <c r="AF19" s="34"/>
      <c r="AH19" t="s">
        <v>34</v>
      </c>
      <c r="AI19" t="s">
        <v>88</v>
      </c>
      <c r="AJ19" t="s">
        <v>51</v>
      </c>
      <c r="AK19">
        <f>COUNTIF(Fives[Upgraded By],Fives[[#This Row],[Upgraded By]])</f>
        <v>1</v>
      </c>
      <c r="AL19" t="str">
        <f>IF(Fives[[#This Row],[Split Credit]]="",Fives[[#This Row],[Upgraded By]],IF(ISNUMBER(FIND(Fives[[#This Row],[Upgraded By]],Fives[[#This Row],[Split Credit]])),Fives[[#This Row],[Split Credit]],Fives[[#This Row],[Upgraded By]]&amp;"; "&amp;Fives[[#This Row],[Split Credit]]))</f>
        <v>Mike</v>
      </c>
    </row>
    <row r="20" spans="1:38" x14ac:dyDescent="0.8">
      <c r="A20" t="s">
        <v>89</v>
      </c>
      <c r="B20" t="s">
        <v>90</v>
      </c>
      <c r="C20" t="s">
        <v>91</v>
      </c>
      <c r="D20" t="s">
        <v>128</v>
      </c>
      <c r="E20" s="33" t="s">
        <v>64</v>
      </c>
      <c r="G20" t="s">
        <v>64</v>
      </c>
      <c r="H20" s="34">
        <v>45354</v>
      </c>
      <c r="I20" t="s">
        <v>49</v>
      </c>
      <c r="J20" t="s">
        <v>31</v>
      </c>
      <c r="K20" t="s">
        <v>32</v>
      </c>
      <c r="N20" t="s">
        <v>31</v>
      </c>
      <c r="O20" t="s">
        <v>33</v>
      </c>
      <c r="Q20">
        <v>0</v>
      </c>
      <c r="R20" s="34">
        <v>45352</v>
      </c>
      <c r="S20" t="s">
        <v>93</v>
      </c>
      <c r="T20" s="34">
        <v>45352</v>
      </c>
      <c r="U20" t="s">
        <v>94</v>
      </c>
      <c r="V20" s="35" t="s">
        <v>95</v>
      </c>
      <c r="W20" t="s">
        <v>96</v>
      </c>
      <c r="X20" t="s">
        <v>97</v>
      </c>
      <c r="Y20" t="s">
        <v>98</v>
      </c>
      <c r="Z20" t="s">
        <v>56</v>
      </c>
      <c r="AC20" t="s">
        <v>99</v>
      </c>
      <c r="AD20">
        <v>59</v>
      </c>
      <c r="AF20" s="34"/>
      <c r="AH20" t="s">
        <v>34</v>
      </c>
      <c r="AI20" t="s">
        <v>100</v>
      </c>
      <c r="AJ20" t="s">
        <v>51</v>
      </c>
      <c r="AK20">
        <f>COUNTIF(Fives[Upgraded By],Fives[[#This Row],[Upgraded By]])</f>
        <v>37</v>
      </c>
      <c r="AL20" t="str">
        <f>IF(Fives[[#This Row],[Split Credit]]="",Fives[[#This Row],[Upgraded By]],IF(ISNUMBER(FIND(Fives[[#This Row],[Upgraded By]],Fives[[#This Row],[Split Credit]])),Fives[[#This Row],[Split Credit]],Fives[[#This Row],[Upgraded By]]&amp;"; "&amp;Fives[[#This Row],[Split Credit]]))</f>
        <v>Ben MacShane</v>
      </c>
    </row>
    <row r="21" spans="1:38" x14ac:dyDescent="0.8">
      <c r="A21" t="s">
        <v>101</v>
      </c>
      <c r="B21" t="s">
        <v>102</v>
      </c>
      <c r="C21" t="s">
        <v>103</v>
      </c>
      <c r="D21" t="s">
        <v>129</v>
      </c>
      <c r="E21" s="36" t="s">
        <v>64</v>
      </c>
      <c r="G21" t="s">
        <v>64</v>
      </c>
      <c r="H21" s="34">
        <v>45354</v>
      </c>
      <c r="I21" t="s">
        <v>55</v>
      </c>
      <c r="J21" t="s">
        <v>31</v>
      </c>
      <c r="K21" t="s">
        <v>32</v>
      </c>
      <c r="N21" t="s">
        <v>31</v>
      </c>
      <c r="O21" t="s">
        <v>33</v>
      </c>
      <c r="Q21">
        <v>0</v>
      </c>
      <c r="R21" s="34">
        <v>45351</v>
      </c>
      <c r="S21" t="s">
        <v>105</v>
      </c>
      <c r="T21" s="34">
        <v>45351</v>
      </c>
      <c r="U21" t="s">
        <v>59</v>
      </c>
      <c r="V21" s="35" t="s">
        <v>106</v>
      </c>
      <c r="W21" t="s">
        <v>107</v>
      </c>
      <c r="X21" t="s">
        <v>108</v>
      </c>
      <c r="Y21" t="s">
        <v>109</v>
      </c>
      <c r="Z21" t="s">
        <v>58</v>
      </c>
      <c r="AC21" t="s">
        <v>110</v>
      </c>
      <c r="AD21">
        <v>104</v>
      </c>
      <c r="AF21" s="34"/>
      <c r="AH21" t="s">
        <v>34</v>
      </c>
      <c r="AI21" t="s">
        <v>111</v>
      </c>
      <c r="AJ21" t="s">
        <v>51</v>
      </c>
      <c r="AK21">
        <f>COUNTIF(Fives[Upgraded By],Fives[[#This Row],[Upgraded By]])</f>
        <v>37</v>
      </c>
      <c r="AL21" t="str">
        <f>IF(Fives[[#This Row],[Split Credit]]="",Fives[[#This Row],[Upgraded By]],IF(ISNUMBER(FIND(Fives[[#This Row],[Upgraded By]],Fives[[#This Row],[Split Credit]])),Fives[[#This Row],[Split Credit]],Fives[[#This Row],[Upgraded By]]&amp;"; "&amp;Fives[[#This Row],[Split Credit]]))</f>
        <v>Ben MacShane</v>
      </c>
    </row>
    <row r="22" spans="1:38" x14ac:dyDescent="0.8">
      <c r="A22" t="s">
        <v>60</v>
      </c>
      <c r="B22" t="s">
        <v>61</v>
      </c>
      <c r="C22" t="s">
        <v>62</v>
      </c>
      <c r="D22" t="s">
        <v>130</v>
      </c>
      <c r="E22" s="33" t="s">
        <v>64</v>
      </c>
      <c r="G22" t="s">
        <v>64</v>
      </c>
      <c r="H22" s="34">
        <v>45348</v>
      </c>
      <c r="I22" t="s">
        <v>55</v>
      </c>
      <c r="J22" t="s">
        <v>31</v>
      </c>
      <c r="K22" t="s">
        <v>32</v>
      </c>
      <c r="N22" t="s">
        <v>31</v>
      </c>
      <c r="O22" t="s">
        <v>33</v>
      </c>
      <c r="Q22">
        <v>0</v>
      </c>
      <c r="R22" s="34">
        <v>45348</v>
      </c>
      <c r="S22" t="s">
        <v>65</v>
      </c>
      <c r="T22" s="34">
        <v>45348</v>
      </c>
      <c r="U22" t="s">
        <v>66</v>
      </c>
      <c r="V22" s="35" t="s">
        <v>67</v>
      </c>
      <c r="W22" t="s">
        <v>68</v>
      </c>
      <c r="X22" t="s">
        <v>69</v>
      </c>
      <c r="Y22" t="s">
        <v>70</v>
      </c>
      <c r="Z22" t="s">
        <v>71</v>
      </c>
      <c r="AA22" t="s">
        <v>72</v>
      </c>
      <c r="AC22" t="s">
        <v>73</v>
      </c>
      <c r="AD22">
        <v>93</v>
      </c>
      <c r="AE22">
        <v>0</v>
      </c>
      <c r="AF22" s="34">
        <v>44593</v>
      </c>
      <c r="AG22">
        <v>400000</v>
      </c>
      <c r="AH22" t="s">
        <v>57</v>
      </c>
      <c r="AI22" t="s">
        <v>74</v>
      </c>
      <c r="AJ22" t="s">
        <v>51</v>
      </c>
      <c r="AK22">
        <f>COUNTIF(Fives[Upgraded By],Fives[[#This Row],[Upgraded By]])</f>
        <v>37</v>
      </c>
      <c r="AL22" t="str">
        <f>IF(Fives[[#This Row],[Split Credit]]="",Fives[[#This Row],[Upgraded By]],IF(ISNUMBER(FIND(Fives[[#This Row],[Upgraded By]],Fives[[#This Row],[Split Credit]])),Fives[[#This Row],[Split Credit]],Fives[[#This Row],[Upgraded By]]&amp;"; "&amp;Fives[[#This Row],[Split Credit]]))</f>
        <v>Ben MacShane</v>
      </c>
    </row>
    <row r="23" spans="1:38" x14ac:dyDescent="0.8">
      <c r="A23" t="s">
        <v>75</v>
      </c>
      <c r="B23" t="s">
        <v>76</v>
      </c>
      <c r="C23" t="s">
        <v>77</v>
      </c>
      <c r="D23" t="s">
        <v>131</v>
      </c>
      <c r="E23" s="33" t="s">
        <v>79</v>
      </c>
      <c r="G23" t="s">
        <v>64</v>
      </c>
      <c r="H23" s="34">
        <v>45350</v>
      </c>
      <c r="I23" t="s">
        <v>49</v>
      </c>
      <c r="J23" t="s">
        <v>31</v>
      </c>
      <c r="K23" t="s">
        <v>32</v>
      </c>
      <c r="N23" t="s">
        <v>31</v>
      </c>
      <c r="O23" t="s">
        <v>33</v>
      </c>
      <c r="Q23">
        <v>0</v>
      </c>
      <c r="R23" s="34">
        <v>45350</v>
      </c>
      <c r="S23" t="s">
        <v>80</v>
      </c>
      <c r="T23" s="34">
        <v>45350</v>
      </c>
      <c r="U23" t="s">
        <v>81</v>
      </c>
      <c r="V23" s="35" t="s">
        <v>82</v>
      </c>
      <c r="W23" t="s">
        <v>83</v>
      </c>
      <c r="X23" t="s">
        <v>84</v>
      </c>
      <c r="Y23" t="s">
        <v>85</v>
      </c>
      <c r="Z23" t="s">
        <v>86</v>
      </c>
      <c r="AC23" t="s">
        <v>87</v>
      </c>
      <c r="AD23">
        <v>109</v>
      </c>
      <c r="AF23" s="34"/>
      <c r="AH23" t="s">
        <v>34</v>
      </c>
      <c r="AI23" t="s">
        <v>88</v>
      </c>
      <c r="AJ23" t="s">
        <v>51</v>
      </c>
      <c r="AK23">
        <f>COUNTIF(Fives[Upgraded By],Fives[[#This Row],[Upgraded By]])</f>
        <v>37</v>
      </c>
      <c r="AL23" t="str">
        <f>IF(Fives[[#This Row],[Split Credit]]="",Fives[[#This Row],[Upgraded By]],IF(ISNUMBER(FIND(Fives[[#This Row],[Upgraded By]],Fives[[#This Row],[Split Credit]])),Fives[[#This Row],[Split Credit]],Fives[[#This Row],[Upgraded By]]&amp;"; "&amp;Fives[[#This Row],[Split Credit]]))</f>
        <v>Ben MacShane</v>
      </c>
    </row>
    <row r="24" spans="1:38" x14ac:dyDescent="0.8">
      <c r="A24" t="s">
        <v>89</v>
      </c>
      <c r="B24" t="s">
        <v>90</v>
      </c>
      <c r="C24" t="s">
        <v>91</v>
      </c>
      <c r="D24" t="s">
        <v>132</v>
      </c>
      <c r="E24" s="33" t="s">
        <v>64</v>
      </c>
      <c r="G24" t="s">
        <v>64</v>
      </c>
      <c r="H24" s="34">
        <v>45354</v>
      </c>
      <c r="I24" t="s">
        <v>49</v>
      </c>
      <c r="J24" t="s">
        <v>31</v>
      </c>
      <c r="K24" t="s">
        <v>32</v>
      </c>
      <c r="N24" t="s">
        <v>31</v>
      </c>
      <c r="O24" t="s">
        <v>33</v>
      </c>
      <c r="Q24">
        <v>0</v>
      </c>
      <c r="R24" s="34">
        <v>45352</v>
      </c>
      <c r="S24" t="s">
        <v>93</v>
      </c>
      <c r="T24" s="34">
        <v>45352</v>
      </c>
      <c r="U24" t="s">
        <v>94</v>
      </c>
      <c r="V24" s="35" t="s">
        <v>95</v>
      </c>
      <c r="W24" t="s">
        <v>96</v>
      </c>
      <c r="X24" t="s">
        <v>97</v>
      </c>
      <c r="Y24" t="s">
        <v>98</v>
      </c>
      <c r="Z24" t="s">
        <v>56</v>
      </c>
      <c r="AC24" t="s">
        <v>99</v>
      </c>
      <c r="AD24">
        <v>59</v>
      </c>
      <c r="AF24" s="34"/>
      <c r="AH24" t="s">
        <v>34</v>
      </c>
      <c r="AI24" t="s">
        <v>100</v>
      </c>
      <c r="AJ24" t="s">
        <v>51</v>
      </c>
      <c r="AK24">
        <f>COUNTIF(Fives[Upgraded By],Fives[[#This Row],[Upgraded By]])</f>
        <v>37</v>
      </c>
      <c r="AL24" t="str">
        <f>IF(Fives[[#This Row],[Split Credit]]="",Fives[[#This Row],[Upgraded By]],IF(ISNUMBER(FIND(Fives[[#This Row],[Upgraded By]],Fives[[#This Row],[Split Credit]])),Fives[[#This Row],[Split Credit]],Fives[[#This Row],[Upgraded By]]&amp;"; "&amp;Fives[[#This Row],[Split Credit]]))</f>
        <v>Ben MacShane</v>
      </c>
    </row>
    <row r="25" spans="1:38" x14ac:dyDescent="0.8">
      <c r="A25" t="s">
        <v>101</v>
      </c>
      <c r="B25" t="s">
        <v>102</v>
      </c>
      <c r="C25" t="s">
        <v>103</v>
      </c>
      <c r="D25" t="s">
        <v>133</v>
      </c>
      <c r="E25" s="36" t="s">
        <v>64</v>
      </c>
      <c r="G25" t="s">
        <v>162</v>
      </c>
      <c r="H25" s="34">
        <v>45354</v>
      </c>
      <c r="I25" t="s">
        <v>55</v>
      </c>
      <c r="J25" t="s">
        <v>31</v>
      </c>
      <c r="K25" t="s">
        <v>32</v>
      </c>
      <c r="N25" t="s">
        <v>31</v>
      </c>
      <c r="O25" t="s">
        <v>33</v>
      </c>
      <c r="Q25">
        <v>0</v>
      </c>
      <c r="R25" s="34">
        <v>45351</v>
      </c>
      <c r="S25" t="s">
        <v>105</v>
      </c>
      <c r="T25" s="34">
        <v>45351</v>
      </c>
      <c r="U25" t="s">
        <v>59</v>
      </c>
      <c r="V25" s="35" t="s">
        <v>106</v>
      </c>
      <c r="W25" t="s">
        <v>107</v>
      </c>
      <c r="X25" t="s">
        <v>108</v>
      </c>
      <c r="Y25" t="s">
        <v>109</v>
      </c>
      <c r="Z25" t="s">
        <v>58</v>
      </c>
      <c r="AC25" t="s">
        <v>110</v>
      </c>
      <c r="AD25">
        <v>104</v>
      </c>
      <c r="AF25" s="34"/>
      <c r="AH25" t="s">
        <v>34</v>
      </c>
      <c r="AI25" t="s">
        <v>111</v>
      </c>
      <c r="AJ25" t="s">
        <v>51</v>
      </c>
      <c r="AK25">
        <f>COUNTIF(Fives[Upgraded By],Fives[[#This Row],[Upgraded By]])</f>
        <v>1</v>
      </c>
      <c r="AL25" t="str">
        <f>IF(Fives[[#This Row],[Split Credit]]="",Fives[[#This Row],[Upgraded By]],IF(ISNUMBER(FIND(Fives[[#This Row],[Upgraded By]],Fives[[#This Row],[Split Credit]])),Fives[[#This Row],[Split Credit]],Fives[[#This Row],[Upgraded By]]&amp;"; "&amp;Fives[[#This Row],[Split Credit]]))</f>
        <v>Crustaceous Investments</v>
      </c>
    </row>
    <row r="26" spans="1:38" x14ac:dyDescent="0.8">
      <c r="A26" t="s">
        <v>60</v>
      </c>
      <c r="B26" t="s">
        <v>61</v>
      </c>
      <c r="C26" t="s">
        <v>62</v>
      </c>
      <c r="D26" t="s">
        <v>134</v>
      </c>
      <c r="E26" s="33" t="s">
        <v>64</v>
      </c>
      <c r="G26" t="s">
        <v>64</v>
      </c>
      <c r="H26" s="34">
        <v>45348</v>
      </c>
      <c r="I26" t="s">
        <v>55</v>
      </c>
      <c r="J26" t="s">
        <v>31</v>
      </c>
      <c r="K26" t="s">
        <v>32</v>
      </c>
      <c r="N26" t="s">
        <v>31</v>
      </c>
      <c r="O26" t="s">
        <v>33</v>
      </c>
      <c r="Q26">
        <v>0</v>
      </c>
      <c r="R26" s="34">
        <v>45348</v>
      </c>
      <c r="S26" t="s">
        <v>65</v>
      </c>
      <c r="T26" s="34">
        <v>45348</v>
      </c>
      <c r="U26" t="s">
        <v>66</v>
      </c>
      <c r="V26" s="35" t="s">
        <v>67</v>
      </c>
      <c r="W26" t="s">
        <v>68</v>
      </c>
      <c r="X26" t="s">
        <v>69</v>
      </c>
      <c r="Y26" t="s">
        <v>70</v>
      </c>
      <c r="Z26" t="s">
        <v>71</v>
      </c>
      <c r="AA26" t="s">
        <v>72</v>
      </c>
      <c r="AC26" t="s">
        <v>73</v>
      </c>
      <c r="AD26">
        <v>93</v>
      </c>
      <c r="AE26">
        <v>0</v>
      </c>
      <c r="AF26" s="34">
        <v>44593</v>
      </c>
      <c r="AG26">
        <v>400000</v>
      </c>
      <c r="AH26" t="s">
        <v>57</v>
      </c>
      <c r="AI26" t="s">
        <v>74</v>
      </c>
      <c r="AJ26" t="s">
        <v>51</v>
      </c>
      <c r="AK26">
        <f>COUNTIF(Fives[Upgraded By],Fives[[#This Row],[Upgraded By]])</f>
        <v>37</v>
      </c>
      <c r="AL26" t="str">
        <f>IF(Fives[[#This Row],[Split Credit]]="",Fives[[#This Row],[Upgraded By]],IF(ISNUMBER(FIND(Fives[[#This Row],[Upgraded By]],Fives[[#This Row],[Split Credit]])),Fives[[#This Row],[Split Credit]],Fives[[#This Row],[Upgraded By]]&amp;"; "&amp;Fives[[#This Row],[Split Credit]]))</f>
        <v>Ben MacShane</v>
      </c>
    </row>
    <row r="27" spans="1:38" x14ac:dyDescent="0.8">
      <c r="A27" t="s">
        <v>75</v>
      </c>
      <c r="B27" t="s">
        <v>76</v>
      </c>
      <c r="C27" t="s">
        <v>77</v>
      </c>
      <c r="D27" t="s">
        <v>135</v>
      </c>
      <c r="E27" s="33" t="s">
        <v>79</v>
      </c>
      <c r="G27" t="s">
        <v>64</v>
      </c>
      <c r="H27" s="34">
        <v>45350</v>
      </c>
      <c r="I27" t="s">
        <v>49</v>
      </c>
      <c r="J27" t="s">
        <v>31</v>
      </c>
      <c r="K27" t="s">
        <v>32</v>
      </c>
      <c r="N27" t="s">
        <v>31</v>
      </c>
      <c r="O27" t="s">
        <v>33</v>
      </c>
      <c r="Q27">
        <v>0</v>
      </c>
      <c r="R27" s="34">
        <v>45350</v>
      </c>
      <c r="S27" t="s">
        <v>80</v>
      </c>
      <c r="T27" s="34">
        <v>45350</v>
      </c>
      <c r="U27" t="s">
        <v>81</v>
      </c>
      <c r="V27" s="35" t="s">
        <v>82</v>
      </c>
      <c r="W27" t="s">
        <v>83</v>
      </c>
      <c r="X27" t="s">
        <v>84</v>
      </c>
      <c r="Y27" t="s">
        <v>85</v>
      </c>
      <c r="Z27" t="s">
        <v>86</v>
      </c>
      <c r="AC27" t="s">
        <v>87</v>
      </c>
      <c r="AD27">
        <v>109</v>
      </c>
      <c r="AF27" s="34"/>
      <c r="AH27" t="s">
        <v>34</v>
      </c>
      <c r="AI27" t="s">
        <v>88</v>
      </c>
      <c r="AJ27" t="s">
        <v>51</v>
      </c>
      <c r="AK27">
        <f>COUNTIF(Fives[Upgraded By],Fives[[#This Row],[Upgraded By]])</f>
        <v>37</v>
      </c>
      <c r="AL27" t="str">
        <f>IF(Fives[[#This Row],[Split Credit]]="",Fives[[#This Row],[Upgraded By]],IF(ISNUMBER(FIND(Fives[[#This Row],[Upgraded By]],Fives[[#This Row],[Split Credit]])),Fives[[#This Row],[Split Credit]],Fives[[#This Row],[Upgraded By]]&amp;"; "&amp;Fives[[#This Row],[Split Credit]]))</f>
        <v>Ben MacShane</v>
      </c>
    </row>
    <row r="28" spans="1:38" x14ac:dyDescent="0.8">
      <c r="A28" t="s">
        <v>89</v>
      </c>
      <c r="B28" t="s">
        <v>90</v>
      </c>
      <c r="C28" t="s">
        <v>91</v>
      </c>
      <c r="D28" t="s">
        <v>136</v>
      </c>
      <c r="E28" s="33" t="s">
        <v>64</v>
      </c>
      <c r="G28" t="s">
        <v>64</v>
      </c>
      <c r="H28" s="34">
        <v>45354</v>
      </c>
      <c r="I28" t="s">
        <v>49</v>
      </c>
      <c r="J28" t="s">
        <v>31</v>
      </c>
      <c r="K28" t="s">
        <v>32</v>
      </c>
      <c r="N28" t="s">
        <v>31</v>
      </c>
      <c r="O28" t="s">
        <v>33</v>
      </c>
      <c r="Q28">
        <v>0</v>
      </c>
      <c r="R28" s="34">
        <v>45352</v>
      </c>
      <c r="S28" t="s">
        <v>93</v>
      </c>
      <c r="T28" s="34">
        <v>45352</v>
      </c>
      <c r="U28" t="s">
        <v>94</v>
      </c>
      <c r="V28" s="35" t="s">
        <v>95</v>
      </c>
      <c r="W28" t="s">
        <v>96</v>
      </c>
      <c r="X28" t="s">
        <v>97</v>
      </c>
      <c r="Y28" t="s">
        <v>98</v>
      </c>
      <c r="Z28" t="s">
        <v>56</v>
      </c>
      <c r="AC28" t="s">
        <v>99</v>
      </c>
      <c r="AD28">
        <v>59</v>
      </c>
      <c r="AF28" s="34"/>
      <c r="AH28" t="s">
        <v>34</v>
      </c>
      <c r="AI28" t="s">
        <v>100</v>
      </c>
      <c r="AJ28" t="s">
        <v>51</v>
      </c>
      <c r="AK28">
        <f>COUNTIF(Fives[Upgraded By],Fives[[#This Row],[Upgraded By]])</f>
        <v>37</v>
      </c>
      <c r="AL28" t="str">
        <f>IF(Fives[[#This Row],[Split Credit]]="",Fives[[#This Row],[Upgraded By]],IF(ISNUMBER(FIND(Fives[[#This Row],[Upgraded By]],Fives[[#This Row],[Split Credit]])),Fives[[#This Row],[Split Credit]],Fives[[#This Row],[Upgraded By]]&amp;"; "&amp;Fives[[#This Row],[Split Credit]]))</f>
        <v>Ben MacShane</v>
      </c>
    </row>
    <row r="29" spans="1:38" x14ac:dyDescent="0.8">
      <c r="A29" t="s">
        <v>101</v>
      </c>
      <c r="B29" t="s">
        <v>102</v>
      </c>
      <c r="C29" t="s">
        <v>103</v>
      </c>
      <c r="D29" t="s">
        <v>137</v>
      </c>
      <c r="E29" s="36" t="s">
        <v>64</v>
      </c>
      <c r="G29" t="s">
        <v>64</v>
      </c>
      <c r="H29" s="34">
        <v>45354</v>
      </c>
      <c r="I29" t="s">
        <v>55</v>
      </c>
      <c r="J29" t="s">
        <v>31</v>
      </c>
      <c r="K29" t="s">
        <v>32</v>
      </c>
      <c r="N29" t="s">
        <v>31</v>
      </c>
      <c r="O29" t="s">
        <v>33</v>
      </c>
      <c r="Q29">
        <v>0</v>
      </c>
      <c r="R29" s="34">
        <v>45351</v>
      </c>
      <c r="S29" t="s">
        <v>105</v>
      </c>
      <c r="T29" s="34">
        <v>45351</v>
      </c>
      <c r="U29" t="s">
        <v>59</v>
      </c>
      <c r="V29" s="35" t="s">
        <v>106</v>
      </c>
      <c r="W29" t="s">
        <v>107</v>
      </c>
      <c r="X29" t="s">
        <v>108</v>
      </c>
      <c r="Y29" t="s">
        <v>109</v>
      </c>
      <c r="Z29" t="s">
        <v>58</v>
      </c>
      <c r="AC29" t="s">
        <v>110</v>
      </c>
      <c r="AD29">
        <v>104</v>
      </c>
      <c r="AF29" s="34"/>
      <c r="AH29" t="s">
        <v>34</v>
      </c>
      <c r="AI29" t="s">
        <v>111</v>
      </c>
      <c r="AJ29" t="s">
        <v>51</v>
      </c>
      <c r="AK29">
        <f>COUNTIF(Fives[Upgraded By],Fives[[#This Row],[Upgraded By]])</f>
        <v>37</v>
      </c>
      <c r="AL29" t="str">
        <f>IF(Fives[[#This Row],[Split Credit]]="",Fives[[#This Row],[Upgraded By]],IF(ISNUMBER(FIND(Fives[[#This Row],[Upgraded By]],Fives[[#This Row],[Split Credit]])),Fives[[#This Row],[Split Credit]],Fives[[#This Row],[Upgraded By]]&amp;"; "&amp;Fives[[#This Row],[Split Credit]]))</f>
        <v>Ben MacShane</v>
      </c>
    </row>
    <row r="30" spans="1:38" x14ac:dyDescent="0.8">
      <c r="A30" t="s">
        <v>60</v>
      </c>
      <c r="B30" t="s">
        <v>61</v>
      </c>
      <c r="C30" t="s">
        <v>62</v>
      </c>
      <c r="D30" t="s">
        <v>138</v>
      </c>
      <c r="E30" s="33" t="s">
        <v>64</v>
      </c>
      <c r="G30" t="s">
        <v>64</v>
      </c>
      <c r="H30" s="34">
        <v>45348</v>
      </c>
      <c r="I30" t="s">
        <v>55</v>
      </c>
      <c r="J30" t="s">
        <v>31</v>
      </c>
      <c r="K30" t="s">
        <v>32</v>
      </c>
      <c r="N30" t="s">
        <v>31</v>
      </c>
      <c r="O30" t="s">
        <v>33</v>
      </c>
      <c r="Q30">
        <v>0</v>
      </c>
      <c r="R30" s="34">
        <v>45348</v>
      </c>
      <c r="S30" t="s">
        <v>65</v>
      </c>
      <c r="T30" s="34">
        <v>45348</v>
      </c>
      <c r="U30" t="s">
        <v>66</v>
      </c>
      <c r="V30" s="35" t="s">
        <v>67</v>
      </c>
      <c r="W30" t="s">
        <v>68</v>
      </c>
      <c r="X30" t="s">
        <v>69</v>
      </c>
      <c r="Y30" t="s">
        <v>70</v>
      </c>
      <c r="Z30" t="s">
        <v>71</v>
      </c>
      <c r="AA30" t="s">
        <v>72</v>
      </c>
      <c r="AC30" t="s">
        <v>73</v>
      </c>
      <c r="AD30">
        <v>93</v>
      </c>
      <c r="AE30">
        <v>0</v>
      </c>
      <c r="AF30" s="34">
        <v>44593</v>
      </c>
      <c r="AG30">
        <v>400000</v>
      </c>
      <c r="AH30" t="s">
        <v>57</v>
      </c>
      <c r="AI30" t="s">
        <v>74</v>
      </c>
      <c r="AJ30" t="s">
        <v>51</v>
      </c>
      <c r="AK30">
        <f>COUNTIF(Fives[Upgraded By],Fives[[#This Row],[Upgraded By]])</f>
        <v>37</v>
      </c>
      <c r="AL30" t="str">
        <f>IF(Fives[[#This Row],[Split Credit]]="",Fives[[#This Row],[Upgraded By]],IF(ISNUMBER(FIND(Fives[[#This Row],[Upgraded By]],Fives[[#This Row],[Split Credit]])),Fives[[#This Row],[Split Credit]],Fives[[#This Row],[Upgraded By]]&amp;"; "&amp;Fives[[#This Row],[Split Credit]]))</f>
        <v>Ben MacShane</v>
      </c>
    </row>
    <row r="31" spans="1:38" x14ac:dyDescent="0.8">
      <c r="A31" t="s">
        <v>75</v>
      </c>
      <c r="B31" t="s">
        <v>76</v>
      </c>
      <c r="C31" t="s">
        <v>77</v>
      </c>
      <c r="D31" t="s">
        <v>139</v>
      </c>
      <c r="E31" s="33" t="s">
        <v>79</v>
      </c>
      <c r="G31" t="s">
        <v>64</v>
      </c>
      <c r="H31" s="34">
        <v>45350</v>
      </c>
      <c r="I31" t="s">
        <v>49</v>
      </c>
      <c r="J31" t="s">
        <v>31</v>
      </c>
      <c r="K31" t="s">
        <v>32</v>
      </c>
      <c r="N31" t="s">
        <v>31</v>
      </c>
      <c r="O31" t="s">
        <v>33</v>
      </c>
      <c r="Q31">
        <v>0</v>
      </c>
      <c r="R31" s="34">
        <v>45350</v>
      </c>
      <c r="S31" t="s">
        <v>80</v>
      </c>
      <c r="T31" s="34">
        <v>45350</v>
      </c>
      <c r="U31" t="s">
        <v>81</v>
      </c>
      <c r="V31" s="35" t="s">
        <v>82</v>
      </c>
      <c r="W31" t="s">
        <v>83</v>
      </c>
      <c r="X31" t="s">
        <v>84</v>
      </c>
      <c r="Y31" t="s">
        <v>85</v>
      </c>
      <c r="Z31" t="s">
        <v>86</v>
      </c>
      <c r="AC31" t="s">
        <v>87</v>
      </c>
      <c r="AD31">
        <v>109</v>
      </c>
      <c r="AF31" s="34"/>
      <c r="AH31" t="s">
        <v>34</v>
      </c>
      <c r="AI31" t="s">
        <v>88</v>
      </c>
      <c r="AJ31" t="s">
        <v>51</v>
      </c>
      <c r="AK31">
        <f>COUNTIF(Fives[Upgraded By],Fives[[#This Row],[Upgraded By]])</f>
        <v>37</v>
      </c>
      <c r="AL31" t="str">
        <f>IF(Fives[[#This Row],[Split Credit]]="",Fives[[#This Row],[Upgraded By]],IF(ISNUMBER(FIND(Fives[[#This Row],[Upgraded By]],Fives[[#This Row],[Split Credit]])),Fives[[#This Row],[Split Credit]],Fives[[#This Row],[Upgraded By]]&amp;"; "&amp;Fives[[#This Row],[Split Credit]]))</f>
        <v>Ben MacShane</v>
      </c>
    </row>
    <row r="32" spans="1:38" x14ac:dyDescent="0.8">
      <c r="A32" t="s">
        <v>89</v>
      </c>
      <c r="B32" t="s">
        <v>90</v>
      </c>
      <c r="C32" t="s">
        <v>91</v>
      </c>
      <c r="D32" t="s">
        <v>140</v>
      </c>
      <c r="E32" s="33" t="s">
        <v>64</v>
      </c>
      <c r="G32" t="s">
        <v>64</v>
      </c>
      <c r="H32" s="34">
        <v>45354</v>
      </c>
      <c r="I32" t="s">
        <v>49</v>
      </c>
      <c r="J32" t="s">
        <v>31</v>
      </c>
      <c r="K32" t="s">
        <v>32</v>
      </c>
      <c r="N32" t="s">
        <v>31</v>
      </c>
      <c r="O32" t="s">
        <v>33</v>
      </c>
      <c r="Q32">
        <v>0</v>
      </c>
      <c r="R32" s="34">
        <v>45352</v>
      </c>
      <c r="S32" t="s">
        <v>93</v>
      </c>
      <c r="T32" s="34">
        <v>45352</v>
      </c>
      <c r="U32" t="s">
        <v>94</v>
      </c>
      <c r="V32" s="35" t="s">
        <v>95</v>
      </c>
      <c r="W32" t="s">
        <v>96</v>
      </c>
      <c r="X32" t="s">
        <v>97</v>
      </c>
      <c r="Y32" t="s">
        <v>98</v>
      </c>
      <c r="Z32" t="s">
        <v>56</v>
      </c>
      <c r="AC32" t="s">
        <v>99</v>
      </c>
      <c r="AD32">
        <v>59</v>
      </c>
      <c r="AF32" s="34"/>
      <c r="AH32" t="s">
        <v>34</v>
      </c>
      <c r="AI32" t="s">
        <v>100</v>
      </c>
      <c r="AJ32" t="s">
        <v>51</v>
      </c>
      <c r="AK32">
        <f>COUNTIF(Fives[Upgraded By],Fives[[#This Row],[Upgraded By]])</f>
        <v>37</v>
      </c>
      <c r="AL32" t="str">
        <f>IF(Fives[[#This Row],[Split Credit]]="",Fives[[#This Row],[Upgraded By]],IF(ISNUMBER(FIND(Fives[[#This Row],[Upgraded By]],Fives[[#This Row],[Split Credit]])),Fives[[#This Row],[Split Credit]],Fives[[#This Row],[Upgraded By]]&amp;"; "&amp;Fives[[#This Row],[Split Credit]]))</f>
        <v>Ben MacShane</v>
      </c>
    </row>
    <row r="33" spans="1:38" x14ac:dyDescent="0.8">
      <c r="A33" t="s">
        <v>101</v>
      </c>
      <c r="B33" t="s">
        <v>102</v>
      </c>
      <c r="C33" t="s">
        <v>103</v>
      </c>
      <c r="D33" t="s">
        <v>141</v>
      </c>
      <c r="E33" s="36" t="s">
        <v>64</v>
      </c>
      <c r="G33" t="s">
        <v>64</v>
      </c>
      <c r="H33" s="34">
        <v>45354</v>
      </c>
      <c r="I33" t="s">
        <v>55</v>
      </c>
      <c r="J33" t="s">
        <v>31</v>
      </c>
      <c r="K33" t="s">
        <v>32</v>
      </c>
      <c r="N33" t="s">
        <v>31</v>
      </c>
      <c r="O33" t="s">
        <v>33</v>
      </c>
      <c r="Q33">
        <v>0</v>
      </c>
      <c r="R33" s="34">
        <v>45351</v>
      </c>
      <c r="S33" t="s">
        <v>105</v>
      </c>
      <c r="T33" s="34">
        <v>45351</v>
      </c>
      <c r="U33" t="s">
        <v>59</v>
      </c>
      <c r="V33" s="35" t="s">
        <v>106</v>
      </c>
      <c r="W33" t="s">
        <v>107</v>
      </c>
      <c r="X33" t="s">
        <v>108</v>
      </c>
      <c r="Y33" t="s">
        <v>109</v>
      </c>
      <c r="Z33" t="s">
        <v>58</v>
      </c>
      <c r="AC33" t="s">
        <v>110</v>
      </c>
      <c r="AD33">
        <v>104</v>
      </c>
      <c r="AF33" s="34"/>
      <c r="AH33" t="s">
        <v>34</v>
      </c>
      <c r="AI33" t="s">
        <v>111</v>
      </c>
      <c r="AJ33" t="s">
        <v>51</v>
      </c>
      <c r="AK33">
        <f>COUNTIF(Fives[Upgraded By],Fives[[#This Row],[Upgraded By]])</f>
        <v>37</v>
      </c>
      <c r="AL33" t="str">
        <f>IF(Fives[[#This Row],[Split Credit]]="",Fives[[#This Row],[Upgraded By]],IF(ISNUMBER(FIND(Fives[[#This Row],[Upgraded By]],Fives[[#This Row],[Split Credit]])),Fives[[#This Row],[Split Credit]],Fives[[#This Row],[Upgraded By]]&amp;"; "&amp;Fives[[#This Row],[Split Credit]]))</f>
        <v>Ben MacShane</v>
      </c>
    </row>
    <row r="34" spans="1:38" x14ac:dyDescent="0.8">
      <c r="A34" t="s">
        <v>60</v>
      </c>
      <c r="B34" t="s">
        <v>61</v>
      </c>
      <c r="C34" t="s">
        <v>62</v>
      </c>
      <c r="D34" t="s">
        <v>142</v>
      </c>
      <c r="E34" s="33" t="s">
        <v>64</v>
      </c>
      <c r="G34" t="s">
        <v>64</v>
      </c>
      <c r="H34" s="34">
        <v>45348</v>
      </c>
      <c r="I34" t="s">
        <v>55</v>
      </c>
      <c r="J34" t="s">
        <v>31</v>
      </c>
      <c r="K34" t="s">
        <v>32</v>
      </c>
      <c r="N34" t="s">
        <v>31</v>
      </c>
      <c r="O34" t="s">
        <v>33</v>
      </c>
      <c r="Q34">
        <v>0</v>
      </c>
      <c r="R34" s="34">
        <v>45348</v>
      </c>
      <c r="S34" t="s">
        <v>65</v>
      </c>
      <c r="T34" s="34">
        <v>45348</v>
      </c>
      <c r="U34" t="s">
        <v>66</v>
      </c>
      <c r="V34" s="35" t="s">
        <v>67</v>
      </c>
      <c r="W34" t="s">
        <v>68</v>
      </c>
      <c r="X34" t="s">
        <v>69</v>
      </c>
      <c r="Y34" t="s">
        <v>70</v>
      </c>
      <c r="Z34" t="s">
        <v>71</v>
      </c>
      <c r="AA34" t="s">
        <v>72</v>
      </c>
      <c r="AC34" t="s">
        <v>73</v>
      </c>
      <c r="AD34">
        <v>93</v>
      </c>
      <c r="AE34">
        <v>0</v>
      </c>
      <c r="AF34" s="34">
        <v>44593</v>
      </c>
      <c r="AG34">
        <v>400000</v>
      </c>
      <c r="AH34" t="s">
        <v>57</v>
      </c>
      <c r="AI34" t="s">
        <v>74</v>
      </c>
      <c r="AJ34" t="s">
        <v>51</v>
      </c>
      <c r="AK34">
        <f>COUNTIF(Fives[Upgraded By],Fives[[#This Row],[Upgraded By]])</f>
        <v>37</v>
      </c>
      <c r="AL34" t="str">
        <f>IF(Fives[[#This Row],[Split Credit]]="",Fives[[#This Row],[Upgraded By]],IF(ISNUMBER(FIND(Fives[[#This Row],[Upgraded By]],Fives[[#This Row],[Split Credit]])),Fives[[#This Row],[Split Credit]],Fives[[#This Row],[Upgraded By]]&amp;"; "&amp;Fives[[#This Row],[Split Credit]]))</f>
        <v>Ben MacShane</v>
      </c>
    </row>
    <row r="35" spans="1:38" x14ac:dyDescent="0.8">
      <c r="A35" t="s">
        <v>75</v>
      </c>
      <c r="B35" t="s">
        <v>76</v>
      </c>
      <c r="C35" t="s">
        <v>77</v>
      </c>
      <c r="D35" t="s">
        <v>143</v>
      </c>
      <c r="E35" s="33" t="s">
        <v>79</v>
      </c>
      <c r="G35" t="s">
        <v>64</v>
      </c>
      <c r="H35" s="34">
        <v>45350</v>
      </c>
      <c r="I35" t="s">
        <v>49</v>
      </c>
      <c r="J35" t="s">
        <v>31</v>
      </c>
      <c r="K35" t="s">
        <v>32</v>
      </c>
      <c r="N35" t="s">
        <v>31</v>
      </c>
      <c r="O35" t="s">
        <v>33</v>
      </c>
      <c r="Q35">
        <v>0</v>
      </c>
      <c r="R35" s="34">
        <v>45350</v>
      </c>
      <c r="S35" t="s">
        <v>80</v>
      </c>
      <c r="T35" s="34">
        <v>45350</v>
      </c>
      <c r="U35" t="s">
        <v>81</v>
      </c>
      <c r="V35" s="35" t="s">
        <v>82</v>
      </c>
      <c r="W35" t="s">
        <v>83</v>
      </c>
      <c r="X35" t="s">
        <v>84</v>
      </c>
      <c r="Y35" t="s">
        <v>85</v>
      </c>
      <c r="Z35" t="s">
        <v>86</v>
      </c>
      <c r="AC35" t="s">
        <v>87</v>
      </c>
      <c r="AD35">
        <v>109</v>
      </c>
      <c r="AF35" s="34"/>
      <c r="AH35" t="s">
        <v>34</v>
      </c>
      <c r="AI35" t="s">
        <v>88</v>
      </c>
      <c r="AJ35" t="s">
        <v>51</v>
      </c>
      <c r="AK35">
        <f>COUNTIF(Fives[Upgraded By],Fives[[#This Row],[Upgraded By]])</f>
        <v>37</v>
      </c>
      <c r="AL35" t="str">
        <f>IF(Fives[[#This Row],[Split Credit]]="",Fives[[#This Row],[Upgraded By]],IF(ISNUMBER(FIND(Fives[[#This Row],[Upgraded By]],Fives[[#This Row],[Split Credit]])),Fives[[#This Row],[Split Credit]],Fives[[#This Row],[Upgraded By]]&amp;"; "&amp;Fives[[#This Row],[Split Credit]]))</f>
        <v>Ben MacShane</v>
      </c>
    </row>
    <row r="36" spans="1:38" x14ac:dyDescent="0.8">
      <c r="A36" t="s">
        <v>89</v>
      </c>
      <c r="B36" t="s">
        <v>90</v>
      </c>
      <c r="C36" t="s">
        <v>91</v>
      </c>
      <c r="D36" t="s">
        <v>144</v>
      </c>
      <c r="E36" s="33" t="s">
        <v>64</v>
      </c>
      <c r="G36" t="s">
        <v>64</v>
      </c>
      <c r="H36" s="34">
        <v>45354</v>
      </c>
      <c r="I36" t="s">
        <v>49</v>
      </c>
      <c r="J36" t="s">
        <v>31</v>
      </c>
      <c r="K36" t="s">
        <v>32</v>
      </c>
      <c r="N36" t="s">
        <v>31</v>
      </c>
      <c r="O36" t="s">
        <v>33</v>
      </c>
      <c r="Q36">
        <v>0</v>
      </c>
      <c r="R36" s="34">
        <v>45352</v>
      </c>
      <c r="S36" t="s">
        <v>93</v>
      </c>
      <c r="T36" s="34">
        <v>45352</v>
      </c>
      <c r="U36" t="s">
        <v>94</v>
      </c>
      <c r="V36" s="35" t="s">
        <v>95</v>
      </c>
      <c r="W36" t="s">
        <v>96</v>
      </c>
      <c r="X36" t="s">
        <v>97</v>
      </c>
      <c r="Y36" t="s">
        <v>98</v>
      </c>
      <c r="Z36" t="s">
        <v>56</v>
      </c>
      <c r="AC36" t="s">
        <v>99</v>
      </c>
      <c r="AD36">
        <v>59</v>
      </c>
      <c r="AF36" s="34"/>
      <c r="AH36" t="s">
        <v>34</v>
      </c>
      <c r="AI36" t="s">
        <v>100</v>
      </c>
      <c r="AJ36" t="s">
        <v>51</v>
      </c>
      <c r="AK36">
        <f>COUNTIF(Fives[Upgraded By],Fives[[#This Row],[Upgraded By]])</f>
        <v>37</v>
      </c>
      <c r="AL36" t="str">
        <f>IF(Fives[[#This Row],[Split Credit]]="",Fives[[#This Row],[Upgraded By]],IF(ISNUMBER(FIND(Fives[[#This Row],[Upgraded By]],Fives[[#This Row],[Split Credit]])),Fives[[#This Row],[Split Credit]],Fives[[#This Row],[Upgraded By]]&amp;"; "&amp;Fives[[#This Row],[Split Credit]]))</f>
        <v>Ben MacShane</v>
      </c>
    </row>
    <row r="37" spans="1:38" x14ac:dyDescent="0.8">
      <c r="A37" t="s">
        <v>101</v>
      </c>
      <c r="B37" t="s">
        <v>102</v>
      </c>
      <c r="C37" t="s">
        <v>103</v>
      </c>
      <c r="D37" t="s">
        <v>145</v>
      </c>
      <c r="E37" s="36" t="s">
        <v>64</v>
      </c>
      <c r="G37" t="s">
        <v>64</v>
      </c>
      <c r="H37" s="34">
        <v>45354</v>
      </c>
      <c r="I37" t="s">
        <v>55</v>
      </c>
      <c r="J37" t="s">
        <v>31</v>
      </c>
      <c r="K37" t="s">
        <v>32</v>
      </c>
      <c r="N37" t="s">
        <v>31</v>
      </c>
      <c r="O37" t="s">
        <v>33</v>
      </c>
      <c r="Q37">
        <v>0</v>
      </c>
      <c r="R37" s="34">
        <v>45351</v>
      </c>
      <c r="S37" t="s">
        <v>105</v>
      </c>
      <c r="T37" s="34">
        <v>45351</v>
      </c>
      <c r="U37" t="s">
        <v>59</v>
      </c>
      <c r="V37" s="35" t="s">
        <v>106</v>
      </c>
      <c r="W37" t="s">
        <v>107</v>
      </c>
      <c r="X37" t="s">
        <v>108</v>
      </c>
      <c r="Y37" t="s">
        <v>109</v>
      </c>
      <c r="Z37" t="s">
        <v>58</v>
      </c>
      <c r="AC37" t="s">
        <v>110</v>
      </c>
      <c r="AD37">
        <v>104</v>
      </c>
      <c r="AF37" s="34"/>
      <c r="AH37" t="s">
        <v>34</v>
      </c>
      <c r="AI37" t="s">
        <v>111</v>
      </c>
      <c r="AJ37" t="s">
        <v>51</v>
      </c>
      <c r="AK37">
        <f>COUNTIF(Fives[Upgraded By],Fives[[#This Row],[Upgraded By]])</f>
        <v>37</v>
      </c>
      <c r="AL37" t="str">
        <f>IF(Fives[[#This Row],[Split Credit]]="",Fives[[#This Row],[Upgraded By]],IF(ISNUMBER(FIND(Fives[[#This Row],[Upgraded By]],Fives[[#This Row],[Split Credit]])),Fives[[#This Row],[Split Credit]],Fives[[#This Row],[Upgraded By]]&amp;"; "&amp;Fives[[#This Row],[Split Credit]]))</f>
        <v>Ben MacShane</v>
      </c>
    </row>
    <row r="38" spans="1:38" x14ac:dyDescent="0.8">
      <c r="A38" t="s">
        <v>60</v>
      </c>
      <c r="B38" t="s">
        <v>61</v>
      </c>
      <c r="C38" t="s">
        <v>62</v>
      </c>
      <c r="D38" t="s">
        <v>146</v>
      </c>
      <c r="E38" s="33" t="s">
        <v>64</v>
      </c>
      <c r="G38" t="s">
        <v>64</v>
      </c>
      <c r="H38" s="34">
        <v>45348</v>
      </c>
      <c r="I38" t="s">
        <v>55</v>
      </c>
      <c r="J38" t="s">
        <v>31</v>
      </c>
      <c r="K38" t="s">
        <v>32</v>
      </c>
      <c r="N38" t="s">
        <v>31</v>
      </c>
      <c r="O38" t="s">
        <v>33</v>
      </c>
      <c r="Q38">
        <v>0</v>
      </c>
      <c r="R38" s="34">
        <v>45348</v>
      </c>
      <c r="S38" t="s">
        <v>65</v>
      </c>
      <c r="T38" s="34">
        <v>45348</v>
      </c>
      <c r="U38" t="s">
        <v>66</v>
      </c>
      <c r="V38" s="35" t="s">
        <v>67</v>
      </c>
      <c r="W38" t="s">
        <v>68</v>
      </c>
      <c r="X38" t="s">
        <v>69</v>
      </c>
      <c r="Y38" t="s">
        <v>70</v>
      </c>
      <c r="Z38" t="s">
        <v>71</v>
      </c>
      <c r="AA38" t="s">
        <v>72</v>
      </c>
      <c r="AC38" t="s">
        <v>73</v>
      </c>
      <c r="AD38">
        <v>93</v>
      </c>
      <c r="AE38">
        <v>0</v>
      </c>
      <c r="AF38" s="34">
        <v>44593</v>
      </c>
      <c r="AG38">
        <v>400000</v>
      </c>
      <c r="AH38" t="s">
        <v>57</v>
      </c>
      <c r="AI38" t="s">
        <v>74</v>
      </c>
      <c r="AJ38" t="s">
        <v>51</v>
      </c>
      <c r="AK38">
        <f>COUNTIF(Fives[Upgraded By],Fives[[#This Row],[Upgraded By]])</f>
        <v>37</v>
      </c>
      <c r="AL38" t="str">
        <f>IF(Fives[[#This Row],[Split Credit]]="",Fives[[#This Row],[Upgraded By]],IF(ISNUMBER(FIND(Fives[[#This Row],[Upgraded By]],Fives[[#This Row],[Split Credit]])),Fives[[#This Row],[Split Credit]],Fives[[#This Row],[Upgraded By]]&amp;"; "&amp;Fives[[#This Row],[Split Credit]]))</f>
        <v>Ben MacShane</v>
      </c>
    </row>
    <row r="39" spans="1:38" x14ac:dyDescent="0.8">
      <c r="A39" t="s">
        <v>75</v>
      </c>
      <c r="B39" t="s">
        <v>76</v>
      </c>
      <c r="C39" t="s">
        <v>77</v>
      </c>
      <c r="D39" t="s">
        <v>147</v>
      </c>
      <c r="E39" s="33" t="s">
        <v>79</v>
      </c>
      <c r="G39" t="s">
        <v>158</v>
      </c>
      <c r="H39" s="34">
        <v>45350</v>
      </c>
      <c r="I39" t="s">
        <v>49</v>
      </c>
      <c r="J39" t="s">
        <v>31</v>
      </c>
      <c r="K39" t="s">
        <v>32</v>
      </c>
      <c r="N39" t="s">
        <v>31</v>
      </c>
      <c r="O39" t="s">
        <v>33</v>
      </c>
      <c r="Q39">
        <v>0</v>
      </c>
      <c r="R39" s="34">
        <v>45350</v>
      </c>
      <c r="S39" t="s">
        <v>80</v>
      </c>
      <c r="T39" s="34">
        <v>45350</v>
      </c>
      <c r="U39" t="s">
        <v>81</v>
      </c>
      <c r="V39" s="35" t="s">
        <v>82</v>
      </c>
      <c r="W39" t="s">
        <v>83</v>
      </c>
      <c r="X39" t="s">
        <v>84</v>
      </c>
      <c r="Y39" t="s">
        <v>85</v>
      </c>
      <c r="Z39" t="s">
        <v>86</v>
      </c>
      <c r="AC39" t="s">
        <v>87</v>
      </c>
      <c r="AD39">
        <v>109</v>
      </c>
      <c r="AF39" s="34"/>
      <c r="AH39" t="s">
        <v>34</v>
      </c>
      <c r="AI39" t="s">
        <v>88</v>
      </c>
      <c r="AJ39" t="s">
        <v>51</v>
      </c>
      <c r="AK39">
        <f>COUNTIF(Fives[Upgraded By],Fives[[#This Row],[Upgraded By]])</f>
        <v>1</v>
      </c>
      <c r="AL39" t="str">
        <f>IF(Fives[[#This Row],[Split Credit]]="",Fives[[#This Row],[Upgraded By]],IF(ISNUMBER(FIND(Fives[[#This Row],[Upgraded By]],Fives[[#This Row],[Split Credit]])),Fives[[#This Row],[Split Credit]],Fives[[#This Row],[Upgraded By]]&amp;"; "&amp;Fives[[#This Row],[Split Credit]]))</f>
        <v>Gluteus Pencilman</v>
      </c>
    </row>
    <row r="40" spans="1:38" x14ac:dyDescent="0.8">
      <c r="A40" t="s">
        <v>89</v>
      </c>
      <c r="B40" t="s">
        <v>90</v>
      </c>
      <c r="C40" t="s">
        <v>91</v>
      </c>
      <c r="D40" t="s">
        <v>148</v>
      </c>
      <c r="E40" s="33" t="s">
        <v>64</v>
      </c>
      <c r="G40" t="s">
        <v>64</v>
      </c>
      <c r="H40" s="34">
        <v>45354</v>
      </c>
      <c r="I40" t="s">
        <v>49</v>
      </c>
      <c r="J40" t="s">
        <v>31</v>
      </c>
      <c r="K40" t="s">
        <v>32</v>
      </c>
      <c r="N40" t="s">
        <v>31</v>
      </c>
      <c r="O40" t="s">
        <v>33</v>
      </c>
      <c r="Q40">
        <v>0</v>
      </c>
      <c r="R40" s="34">
        <v>45352</v>
      </c>
      <c r="S40" t="s">
        <v>93</v>
      </c>
      <c r="T40" s="34">
        <v>45352</v>
      </c>
      <c r="U40" t="s">
        <v>94</v>
      </c>
      <c r="V40" s="35" t="s">
        <v>95</v>
      </c>
      <c r="W40" t="s">
        <v>96</v>
      </c>
      <c r="X40" t="s">
        <v>97</v>
      </c>
      <c r="Y40" t="s">
        <v>98</v>
      </c>
      <c r="Z40" t="s">
        <v>56</v>
      </c>
      <c r="AC40" t="s">
        <v>99</v>
      </c>
      <c r="AD40">
        <v>59</v>
      </c>
      <c r="AF40" s="34"/>
      <c r="AH40" t="s">
        <v>34</v>
      </c>
      <c r="AI40" t="s">
        <v>100</v>
      </c>
      <c r="AJ40" t="s">
        <v>51</v>
      </c>
      <c r="AK40">
        <f>COUNTIF(Fives[Upgraded By],Fives[[#This Row],[Upgraded By]])</f>
        <v>37</v>
      </c>
      <c r="AL40" t="str">
        <f>IF(Fives[[#This Row],[Split Credit]]="",Fives[[#This Row],[Upgraded By]],IF(ISNUMBER(FIND(Fives[[#This Row],[Upgraded By]],Fives[[#This Row],[Split Credit]])),Fives[[#This Row],[Split Credit]],Fives[[#This Row],[Upgraded By]]&amp;"; "&amp;Fives[[#This Row],[Split Credit]]))</f>
        <v>Ben MacShane</v>
      </c>
    </row>
    <row r="41" spans="1:38" x14ac:dyDescent="0.8">
      <c r="A41" t="s">
        <v>101</v>
      </c>
      <c r="B41" t="s">
        <v>102</v>
      </c>
      <c r="C41" t="s">
        <v>103</v>
      </c>
      <c r="D41" t="s">
        <v>149</v>
      </c>
      <c r="E41" s="36" t="s">
        <v>64</v>
      </c>
      <c r="G41" t="s">
        <v>159</v>
      </c>
      <c r="H41" s="34">
        <v>45354</v>
      </c>
      <c r="I41" t="s">
        <v>55</v>
      </c>
      <c r="J41" t="s">
        <v>31</v>
      </c>
      <c r="K41" t="s">
        <v>32</v>
      </c>
      <c r="N41" t="s">
        <v>31</v>
      </c>
      <c r="O41" t="s">
        <v>33</v>
      </c>
      <c r="Q41">
        <v>0</v>
      </c>
      <c r="R41" s="34">
        <v>45351</v>
      </c>
      <c r="S41" t="s">
        <v>105</v>
      </c>
      <c r="T41" s="34">
        <v>45351</v>
      </c>
      <c r="U41" t="s">
        <v>59</v>
      </c>
      <c r="V41" s="35" t="s">
        <v>106</v>
      </c>
      <c r="W41" t="s">
        <v>107</v>
      </c>
      <c r="X41" t="s">
        <v>108</v>
      </c>
      <c r="Y41" t="s">
        <v>109</v>
      </c>
      <c r="Z41" t="s">
        <v>58</v>
      </c>
      <c r="AC41" t="s">
        <v>110</v>
      </c>
      <c r="AD41">
        <v>104</v>
      </c>
      <c r="AF41" s="34"/>
      <c r="AH41" t="s">
        <v>34</v>
      </c>
      <c r="AI41" t="s">
        <v>111</v>
      </c>
      <c r="AJ41" t="s">
        <v>51</v>
      </c>
      <c r="AK41">
        <f>COUNTIF(Fives[Upgraded By],Fives[[#This Row],[Upgraded By]])</f>
        <v>1</v>
      </c>
      <c r="AL41" t="str">
        <f>IF(Fives[[#This Row],[Split Credit]]="",Fives[[#This Row],[Upgraded By]],IF(ISNUMBER(FIND(Fives[[#This Row],[Upgraded By]],Fives[[#This Row],[Split Credit]])),Fives[[#This Row],[Split Credit]],Fives[[#This Row],[Upgraded By]]&amp;"; "&amp;Fives[[#This Row],[Split Credit]]))</f>
        <v>Preston Presstors</v>
      </c>
    </row>
    <row r="42" spans="1:38" x14ac:dyDescent="0.8">
      <c r="A42" t="s">
        <v>60</v>
      </c>
      <c r="B42" t="s">
        <v>61</v>
      </c>
      <c r="C42" t="s">
        <v>62</v>
      </c>
      <c r="D42" t="s">
        <v>150</v>
      </c>
      <c r="E42" s="33" t="s">
        <v>64</v>
      </c>
      <c r="G42" t="s">
        <v>64</v>
      </c>
      <c r="H42" s="34">
        <v>45348</v>
      </c>
      <c r="I42" t="s">
        <v>55</v>
      </c>
      <c r="J42" t="s">
        <v>31</v>
      </c>
      <c r="K42" t="s">
        <v>32</v>
      </c>
      <c r="N42" t="s">
        <v>31</v>
      </c>
      <c r="O42" t="s">
        <v>33</v>
      </c>
      <c r="Q42">
        <v>0</v>
      </c>
      <c r="R42" s="34">
        <v>45348</v>
      </c>
      <c r="S42" t="s">
        <v>65</v>
      </c>
      <c r="T42" s="34">
        <v>45348</v>
      </c>
      <c r="U42" t="s">
        <v>66</v>
      </c>
      <c r="V42" s="35" t="s">
        <v>67</v>
      </c>
      <c r="W42" t="s">
        <v>68</v>
      </c>
      <c r="X42" t="s">
        <v>69</v>
      </c>
      <c r="Y42" t="s">
        <v>70</v>
      </c>
      <c r="Z42" t="s">
        <v>71</v>
      </c>
      <c r="AA42" t="s">
        <v>72</v>
      </c>
      <c r="AC42" t="s">
        <v>73</v>
      </c>
      <c r="AD42">
        <v>93</v>
      </c>
      <c r="AE42">
        <v>0</v>
      </c>
      <c r="AF42" s="34">
        <v>44593</v>
      </c>
      <c r="AG42">
        <v>400000</v>
      </c>
      <c r="AH42" t="s">
        <v>57</v>
      </c>
      <c r="AI42" t="s">
        <v>74</v>
      </c>
      <c r="AJ42" t="s">
        <v>51</v>
      </c>
      <c r="AK42">
        <f>COUNTIF(Fives[Upgraded By],Fives[[#This Row],[Upgraded By]])</f>
        <v>37</v>
      </c>
      <c r="AL42" t="str">
        <f>IF(Fives[[#This Row],[Split Credit]]="",Fives[[#This Row],[Upgraded By]],IF(ISNUMBER(FIND(Fives[[#This Row],[Upgraded By]],Fives[[#This Row],[Split Credit]])),Fives[[#This Row],[Split Credit]],Fives[[#This Row],[Upgraded By]]&amp;"; "&amp;Fives[[#This Row],[Split Credit]]))</f>
        <v>Ben MacShane</v>
      </c>
    </row>
    <row r="43" spans="1:38" x14ac:dyDescent="0.8">
      <c r="A43" t="s">
        <v>75</v>
      </c>
      <c r="B43" t="s">
        <v>76</v>
      </c>
      <c r="C43" t="s">
        <v>77</v>
      </c>
      <c r="D43" t="s">
        <v>151</v>
      </c>
      <c r="E43" s="33" t="s">
        <v>79</v>
      </c>
      <c r="G43" t="s">
        <v>64</v>
      </c>
      <c r="H43" s="34">
        <v>45350</v>
      </c>
      <c r="I43" t="s">
        <v>49</v>
      </c>
      <c r="J43" t="s">
        <v>31</v>
      </c>
      <c r="K43" t="s">
        <v>32</v>
      </c>
      <c r="N43" t="s">
        <v>31</v>
      </c>
      <c r="O43" t="s">
        <v>33</v>
      </c>
      <c r="Q43">
        <v>0</v>
      </c>
      <c r="R43" s="34">
        <v>45350</v>
      </c>
      <c r="S43" t="s">
        <v>80</v>
      </c>
      <c r="T43" s="34">
        <v>45350</v>
      </c>
      <c r="U43" t="s">
        <v>81</v>
      </c>
      <c r="V43" s="35" t="s">
        <v>82</v>
      </c>
      <c r="W43" t="s">
        <v>83</v>
      </c>
      <c r="X43" t="s">
        <v>84</v>
      </c>
      <c r="Y43" t="s">
        <v>85</v>
      </c>
      <c r="Z43" t="s">
        <v>86</v>
      </c>
      <c r="AC43" t="s">
        <v>87</v>
      </c>
      <c r="AD43">
        <v>109</v>
      </c>
      <c r="AF43" s="34"/>
      <c r="AH43" t="s">
        <v>34</v>
      </c>
      <c r="AI43" t="s">
        <v>88</v>
      </c>
      <c r="AJ43" t="s">
        <v>51</v>
      </c>
      <c r="AK43">
        <f>COUNTIF(Fives[Upgraded By],Fives[[#This Row],[Upgraded By]])</f>
        <v>37</v>
      </c>
      <c r="AL43" t="str">
        <f>IF(Fives[[#This Row],[Split Credit]]="",Fives[[#This Row],[Upgraded By]],IF(ISNUMBER(FIND(Fives[[#This Row],[Upgraded By]],Fives[[#This Row],[Split Credit]])),Fives[[#This Row],[Split Credit]],Fives[[#This Row],[Upgraded By]]&amp;"; "&amp;Fives[[#This Row],[Split Credit]]))</f>
        <v>Ben MacShane</v>
      </c>
    </row>
    <row r="44" spans="1:38" x14ac:dyDescent="0.8">
      <c r="A44" t="s">
        <v>89</v>
      </c>
      <c r="B44" t="s">
        <v>90</v>
      </c>
      <c r="C44" t="s">
        <v>91</v>
      </c>
      <c r="D44" t="s">
        <v>152</v>
      </c>
      <c r="E44" s="33" t="s">
        <v>64</v>
      </c>
      <c r="G44" t="s">
        <v>64</v>
      </c>
      <c r="H44" s="34">
        <v>45354</v>
      </c>
      <c r="I44" t="s">
        <v>49</v>
      </c>
      <c r="J44" t="s">
        <v>31</v>
      </c>
      <c r="K44" t="s">
        <v>32</v>
      </c>
      <c r="N44" t="s">
        <v>31</v>
      </c>
      <c r="O44" t="s">
        <v>33</v>
      </c>
      <c r="Q44">
        <v>0</v>
      </c>
      <c r="R44" s="34">
        <v>45352</v>
      </c>
      <c r="S44" t="s">
        <v>93</v>
      </c>
      <c r="T44" s="34">
        <v>45352</v>
      </c>
      <c r="U44" t="s">
        <v>94</v>
      </c>
      <c r="V44" s="35" t="s">
        <v>95</v>
      </c>
      <c r="W44" t="s">
        <v>96</v>
      </c>
      <c r="X44" t="s">
        <v>97</v>
      </c>
      <c r="Y44" t="s">
        <v>98</v>
      </c>
      <c r="Z44" t="s">
        <v>56</v>
      </c>
      <c r="AC44" t="s">
        <v>99</v>
      </c>
      <c r="AD44">
        <v>59</v>
      </c>
      <c r="AF44" s="34"/>
      <c r="AH44" t="s">
        <v>34</v>
      </c>
      <c r="AI44" t="s">
        <v>100</v>
      </c>
      <c r="AJ44" t="s">
        <v>51</v>
      </c>
      <c r="AK44">
        <f>COUNTIF(Fives[Upgraded By],Fives[[#This Row],[Upgraded By]])</f>
        <v>37</v>
      </c>
      <c r="AL44" t="str">
        <f>IF(Fives[[#This Row],[Split Credit]]="",Fives[[#This Row],[Upgraded By]],IF(ISNUMBER(FIND(Fives[[#This Row],[Upgraded By]],Fives[[#This Row],[Split Credit]])),Fives[[#This Row],[Split Credit]],Fives[[#This Row],[Upgraded By]]&amp;"; "&amp;Fives[[#This Row],[Split Credit]]))</f>
        <v>Ben MacShane</v>
      </c>
    </row>
    <row r="45" spans="1:38" x14ac:dyDescent="0.8">
      <c r="A45" t="s">
        <v>101</v>
      </c>
      <c r="B45" t="s">
        <v>102</v>
      </c>
      <c r="C45" t="s">
        <v>103</v>
      </c>
      <c r="D45" t="s">
        <v>153</v>
      </c>
      <c r="E45" s="36" t="s">
        <v>64</v>
      </c>
      <c r="G45" t="s">
        <v>64</v>
      </c>
      <c r="H45" s="34">
        <v>45354</v>
      </c>
      <c r="I45" t="s">
        <v>55</v>
      </c>
      <c r="J45" t="s">
        <v>31</v>
      </c>
      <c r="K45" t="s">
        <v>32</v>
      </c>
      <c r="N45" t="s">
        <v>31</v>
      </c>
      <c r="O45" t="s">
        <v>33</v>
      </c>
      <c r="Q45">
        <v>0</v>
      </c>
      <c r="R45" s="34">
        <v>45351</v>
      </c>
      <c r="S45" t="s">
        <v>105</v>
      </c>
      <c r="T45" s="34">
        <v>45351</v>
      </c>
      <c r="U45" t="s">
        <v>59</v>
      </c>
      <c r="V45" s="35" t="s">
        <v>106</v>
      </c>
      <c r="W45" t="s">
        <v>107</v>
      </c>
      <c r="X45" t="s">
        <v>108</v>
      </c>
      <c r="Y45" t="s">
        <v>109</v>
      </c>
      <c r="Z45" t="s">
        <v>58</v>
      </c>
      <c r="AC45" t="s">
        <v>110</v>
      </c>
      <c r="AD45">
        <v>104</v>
      </c>
      <c r="AF45" s="34"/>
      <c r="AH45" t="s">
        <v>34</v>
      </c>
      <c r="AI45" t="s">
        <v>111</v>
      </c>
      <c r="AJ45" t="s">
        <v>51</v>
      </c>
      <c r="AK45">
        <f>COUNTIF(Fives[Upgraded By],Fives[[#This Row],[Upgraded By]])</f>
        <v>37</v>
      </c>
      <c r="AL45" t="str">
        <f>IF(Fives[[#This Row],[Split Credit]]="",Fives[[#This Row],[Upgraded By]],IF(ISNUMBER(FIND(Fives[[#This Row],[Upgraded By]],Fives[[#This Row],[Split Credit]])),Fives[[#This Row],[Split Credit]],Fives[[#This Row],[Upgraded By]]&amp;"; "&amp;Fives[[#This Row],[Split Credit]]))</f>
        <v>Ben MacShane</v>
      </c>
    </row>
    <row r="46" spans="1:38" x14ac:dyDescent="0.8">
      <c r="A46" t="s">
        <v>60</v>
      </c>
      <c r="B46" t="s">
        <v>61</v>
      </c>
      <c r="C46" t="s">
        <v>62</v>
      </c>
      <c r="D46" t="s">
        <v>154</v>
      </c>
      <c r="E46" s="33" t="s">
        <v>64</v>
      </c>
      <c r="G46" t="s">
        <v>64</v>
      </c>
      <c r="H46" s="34">
        <v>45348</v>
      </c>
      <c r="I46" t="s">
        <v>55</v>
      </c>
      <c r="J46" t="s">
        <v>31</v>
      </c>
      <c r="K46" t="s">
        <v>32</v>
      </c>
      <c r="N46" t="s">
        <v>31</v>
      </c>
      <c r="O46" t="s">
        <v>33</v>
      </c>
      <c r="Q46">
        <v>0</v>
      </c>
      <c r="R46" s="34">
        <v>45348</v>
      </c>
      <c r="S46" t="s">
        <v>65</v>
      </c>
      <c r="T46" s="34">
        <v>45348</v>
      </c>
      <c r="U46" t="s">
        <v>66</v>
      </c>
      <c r="V46" s="35" t="s">
        <v>67</v>
      </c>
      <c r="W46" t="s">
        <v>68</v>
      </c>
      <c r="X46" t="s">
        <v>69</v>
      </c>
      <c r="Y46" t="s">
        <v>70</v>
      </c>
      <c r="Z46" t="s">
        <v>71</v>
      </c>
      <c r="AA46" t="s">
        <v>72</v>
      </c>
      <c r="AC46" t="s">
        <v>73</v>
      </c>
      <c r="AD46">
        <v>93</v>
      </c>
      <c r="AE46">
        <v>0</v>
      </c>
      <c r="AF46" s="34">
        <v>44593</v>
      </c>
      <c r="AG46">
        <v>400000</v>
      </c>
      <c r="AH46" t="s">
        <v>57</v>
      </c>
      <c r="AI46" t="s">
        <v>74</v>
      </c>
      <c r="AJ46" t="s">
        <v>51</v>
      </c>
      <c r="AK46">
        <f>COUNTIF(Fives[Upgraded By],Fives[[#This Row],[Upgraded By]])</f>
        <v>37</v>
      </c>
      <c r="AL46" t="str">
        <f>IF(Fives[[#This Row],[Split Credit]]="",Fives[[#This Row],[Upgraded By]],IF(ISNUMBER(FIND(Fives[[#This Row],[Upgraded By]],Fives[[#This Row],[Split Credit]])),Fives[[#This Row],[Split Credit]],Fives[[#This Row],[Upgraded By]]&amp;"; "&amp;Fives[[#This Row],[Split Credit]]))</f>
        <v>Ben MacShane</v>
      </c>
    </row>
    <row r="47" spans="1:38" x14ac:dyDescent="0.8">
      <c r="A47" t="s">
        <v>75</v>
      </c>
      <c r="B47" t="s">
        <v>76</v>
      </c>
      <c r="C47" t="s">
        <v>77</v>
      </c>
      <c r="D47" t="s">
        <v>155</v>
      </c>
      <c r="E47" s="33" t="s">
        <v>79</v>
      </c>
      <c r="G47" t="s">
        <v>64</v>
      </c>
      <c r="H47" s="34">
        <v>45350</v>
      </c>
      <c r="I47" t="s">
        <v>49</v>
      </c>
      <c r="J47" t="s">
        <v>31</v>
      </c>
      <c r="K47" t="s">
        <v>32</v>
      </c>
      <c r="N47" t="s">
        <v>31</v>
      </c>
      <c r="O47" t="s">
        <v>33</v>
      </c>
      <c r="Q47">
        <v>0</v>
      </c>
      <c r="R47" s="34">
        <v>45350</v>
      </c>
      <c r="S47" t="s">
        <v>80</v>
      </c>
      <c r="T47" s="34">
        <v>45350</v>
      </c>
      <c r="U47" t="s">
        <v>81</v>
      </c>
      <c r="V47" s="35" t="s">
        <v>82</v>
      </c>
      <c r="W47" t="s">
        <v>83</v>
      </c>
      <c r="X47" t="s">
        <v>84</v>
      </c>
      <c r="Y47" t="s">
        <v>85</v>
      </c>
      <c r="Z47" t="s">
        <v>86</v>
      </c>
      <c r="AC47" t="s">
        <v>87</v>
      </c>
      <c r="AD47">
        <v>109</v>
      </c>
      <c r="AF47" s="34"/>
      <c r="AH47" t="s">
        <v>34</v>
      </c>
      <c r="AI47" t="s">
        <v>88</v>
      </c>
      <c r="AJ47" t="s">
        <v>51</v>
      </c>
      <c r="AK47">
        <f>COUNTIF(Fives[Upgraded By],Fives[[#This Row],[Upgraded By]])</f>
        <v>37</v>
      </c>
      <c r="AL47" t="str">
        <f>IF(Fives[[#This Row],[Split Credit]]="",Fives[[#This Row],[Upgraded By]],IF(ISNUMBER(FIND(Fives[[#This Row],[Upgraded By]],Fives[[#This Row],[Split Credit]])),Fives[[#This Row],[Split Credit]],Fives[[#This Row],[Upgraded By]]&amp;"; "&amp;Fives[[#This Row],[Split Credit]]))</f>
        <v>Ben MacShane</v>
      </c>
    </row>
    <row r="48" spans="1:38" x14ac:dyDescent="0.8">
      <c r="A48" t="s">
        <v>89</v>
      </c>
      <c r="B48" t="s">
        <v>90</v>
      </c>
      <c r="C48" t="s">
        <v>91</v>
      </c>
      <c r="D48" t="s">
        <v>156</v>
      </c>
      <c r="E48" s="33" t="s">
        <v>64</v>
      </c>
      <c r="G48" t="s">
        <v>64</v>
      </c>
      <c r="H48" s="34">
        <v>45354</v>
      </c>
      <c r="I48" t="s">
        <v>49</v>
      </c>
      <c r="J48" t="s">
        <v>31</v>
      </c>
      <c r="K48" t="s">
        <v>32</v>
      </c>
      <c r="N48" t="s">
        <v>31</v>
      </c>
      <c r="O48" t="s">
        <v>33</v>
      </c>
      <c r="Q48">
        <v>0</v>
      </c>
      <c r="R48" s="34">
        <v>45352</v>
      </c>
      <c r="S48" t="s">
        <v>93</v>
      </c>
      <c r="T48" s="34">
        <v>45352</v>
      </c>
      <c r="U48" t="s">
        <v>94</v>
      </c>
      <c r="V48" s="35" t="s">
        <v>95</v>
      </c>
      <c r="W48" t="s">
        <v>96</v>
      </c>
      <c r="X48" t="s">
        <v>97</v>
      </c>
      <c r="Y48" t="s">
        <v>98</v>
      </c>
      <c r="Z48" t="s">
        <v>56</v>
      </c>
      <c r="AC48" t="s">
        <v>99</v>
      </c>
      <c r="AD48">
        <v>59</v>
      </c>
      <c r="AF48" s="34"/>
      <c r="AH48" t="s">
        <v>34</v>
      </c>
      <c r="AI48" t="s">
        <v>100</v>
      </c>
      <c r="AJ48" t="s">
        <v>51</v>
      </c>
      <c r="AK48">
        <f>COUNTIF(Fives[Upgraded By],Fives[[#This Row],[Upgraded By]])</f>
        <v>37</v>
      </c>
      <c r="AL48" t="str">
        <f>IF(Fives[[#This Row],[Split Credit]]="",Fives[[#This Row],[Upgraded By]],IF(ISNUMBER(FIND(Fives[[#This Row],[Upgraded By]],Fives[[#This Row],[Split Credit]])),Fives[[#This Row],[Split Credit]],Fives[[#This Row],[Upgraded By]]&amp;"; "&amp;Fives[[#This Row],[Split Credit]]))</f>
        <v>Ben MacShane</v>
      </c>
    </row>
    <row r="49" spans="1:38" x14ac:dyDescent="0.8">
      <c r="A49" t="s">
        <v>101</v>
      </c>
      <c r="B49" t="s">
        <v>102</v>
      </c>
      <c r="C49" t="s">
        <v>103</v>
      </c>
      <c r="D49" t="s">
        <v>157</v>
      </c>
      <c r="E49" s="36" t="s">
        <v>64</v>
      </c>
      <c r="G49" t="s">
        <v>64</v>
      </c>
      <c r="H49" s="34">
        <v>45354</v>
      </c>
      <c r="I49" t="s">
        <v>55</v>
      </c>
      <c r="J49" t="s">
        <v>31</v>
      </c>
      <c r="K49" t="s">
        <v>32</v>
      </c>
      <c r="N49" t="s">
        <v>31</v>
      </c>
      <c r="O49" t="s">
        <v>33</v>
      </c>
      <c r="Q49">
        <v>0</v>
      </c>
      <c r="R49" s="34">
        <v>45351</v>
      </c>
      <c r="S49" t="s">
        <v>105</v>
      </c>
      <c r="T49" s="34">
        <v>45351</v>
      </c>
      <c r="U49" t="s">
        <v>59</v>
      </c>
      <c r="V49" s="35" t="s">
        <v>106</v>
      </c>
      <c r="W49" t="s">
        <v>107</v>
      </c>
      <c r="X49" t="s">
        <v>108</v>
      </c>
      <c r="Y49" t="s">
        <v>109</v>
      </c>
      <c r="Z49" t="s">
        <v>58</v>
      </c>
      <c r="AC49" t="s">
        <v>110</v>
      </c>
      <c r="AD49">
        <v>104</v>
      </c>
      <c r="AF49" s="34"/>
      <c r="AH49" t="s">
        <v>34</v>
      </c>
      <c r="AI49" t="s">
        <v>111</v>
      </c>
      <c r="AJ49" t="s">
        <v>51</v>
      </c>
      <c r="AK49">
        <f>COUNTIF(Fives[Upgraded By],Fives[[#This Row],[Upgraded By]])</f>
        <v>37</v>
      </c>
      <c r="AL49" t="str">
        <f>IF(Fives[[#This Row],[Split Credit]]="",Fives[[#This Row],[Upgraded By]],IF(ISNUMBER(FIND(Fives[[#This Row],[Upgraded By]],Fives[[#This Row],[Split Credit]])),Fives[[#This Row],[Split Credit]],Fives[[#This Row],[Upgraded By]]&amp;"; "&amp;Fives[[#This Row],[Split Credit]]))</f>
        <v>Ben MacShane</v>
      </c>
    </row>
  </sheetData>
  <pageMargins left="0.75" right="0.75" top="1" bottom="1" header="0.5" footer="0.5"/>
  <pageSetup orientation="portrait" horizontalDpi="0" verticalDpi="0"/>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5F52D9-41A2-467E-A46C-752F80F59DFE}">
  <sheetPr codeName="Sheet31"/>
  <dimension ref="A1"/>
  <sheetViews>
    <sheetView workbookViewId="0">
      <selection activeCell="G20" sqref="G20"/>
    </sheetView>
  </sheetViews>
  <sheetFormatPr defaultRowHeight="16" x14ac:dyDescent="0.8"/>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Cover</vt:lpstr>
      <vt:lpstr>Delaget</vt:lpstr>
      <vt:lpstr>Main</vt:lpstr>
      <vt:lpstr>Data</vt:lpstr>
      <vt:lpstr>Sheet390</vt:lpstr>
      <vt:lpstr>Cover!Print_Area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mk</dc:creator>
  <cp:lastModifiedBy>Leo Gretzinger</cp:lastModifiedBy>
  <cp:lastPrinted>2023-09-20T22:12:16Z</cp:lastPrinted>
  <dcterms:created xsi:type="dcterms:W3CDTF">2023-09-20T20:22:48Z</dcterms:created>
  <dcterms:modified xsi:type="dcterms:W3CDTF">2024-03-26T15:38:10Z</dcterms:modified>
</cp:coreProperties>
</file>