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leogr\OneDrive\Documents\Sagemount\Slides_Maker\"/>
    </mc:Choice>
  </mc:AlternateContent>
  <xr:revisionPtr revIDLastSave="0" documentId="13_ncr:1_{63C9EBEF-D78F-4B3E-A398-B86B3AF66F33}" xr6:coauthVersionLast="47" xr6:coauthVersionMax="47" xr10:uidLastSave="{00000000-0000-0000-0000-000000000000}"/>
  <bookViews>
    <workbookView xWindow="-90" yWindow="-90" windowWidth="19380" windowHeight="10260" xr2:uid="{00000000-000D-0000-FFFF-FFFF00000000}"/>
  </bookViews>
  <sheets>
    <sheet name="Cover" sheetId="4" r:id="rId1"/>
    <sheet name="Delaget" sheetId="498" r:id="rId2"/>
    <sheet name="Main" sheetId="3" r:id="rId3"/>
    <sheet name="Data" sheetId="1" r:id="rId4"/>
    <sheet name="Sheet390" sheetId="449" r:id="rId5"/>
  </sheets>
  <functionGroups builtInGroupCount="19"/>
  <definedNames>
    <definedName name="CIQWBGuid" hidden="1">"25295fb0-50ac-4404-a9d3-b1d6b5fb4d4b"</definedName>
    <definedName name="COMPANY_NAME">#REF!</definedName>
    <definedName name="CURRENCY">#REF!</definedName>
    <definedName name="DISPLAY_UNITS">#REF!</definedName>
    <definedName name="FISCAL_YEAR">#REF!</definedName>
    <definedName name="FISCAL_YEAR_END">#REF!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43679.8080902778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L3M_CURRENT_END">#REF!</definedName>
    <definedName name="L3M_PREV_END">#REF!</definedName>
    <definedName name="L3M_PREVYR_END">#REF!</definedName>
    <definedName name="L6M_CURRENT_END">#REF!</definedName>
    <definedName name="L6M_PREV_END">#REF!</definedName>
    <definedName name="L6M_PREVYR_END">#REF!</definedName>
    <definedName name="LTM_CURRENT_END">#REF!</definedName>
    <definedName name="LTM_PREV_END">#REF!</definedName>
    <definedName name="MONTH_CURRENT">#REF!</definedName>
    <definedName name="MONTH_CURRENT_END">#REF!</definedName>
    <definedName name="MONTH_PREV_END">#REF!</definedName>
    <definedName name="MONTH_PREVYR_END">#REF!</definedName>
    <definedName name="_xlnm.Print_Area" localSheetId="0">Cover!$B$2:$D$12</definedName>
    <definedName name="QTR_CURRENT_BEG">#REF!</definedName>
    <definedName name="QTR_CURRENT_END">#REF!</definedName>
    <definedName name="QTR_PREV_END">#REF!</definedName>
    <definedName name="QTR_PREVYR_END">#REF!</definedName>
    <definedName name="YEAR_CURRENT_BEG">#REF!</definedName>
    <definedName name="YEAR_CURRENT_END">#REF!</definedName>
    <definedName name="YEAR_PREV_END">#REF!</definedName>
    <definedName name="YTD_CURRENT_BEG">#REF!</definedName>
    <definedName name="YTD_CURRENT_EN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498" l="1"/>
  <c r="M1" i="498" s="1"/>
  <c r="AL49" i="1"/>
  <c r="AK49" i="1"/>
  <c r="AL48" i="1"/>
  <c r="AK48" i="1"/>
  <c r="AL47" i="1"/>
  <c r="AK47" i="1"/>
  <c r="AL46" i="1"/>
  <c r="AK46" i="1"/>
  <c r="AL45" i="1"/>
  <c r="AK45" i="1"/>
  <c r="AL44" i="1"/>
  <c r="AK44" i="1"/>
  <c r="AL43" i="1"/>
  <c r="AK43" i="1"/>
  <c r="AL42" i="1"/>
  <c r="AK42" i="1"/>
  <c r="AL41" i="1"/>
  <c r="AK41" i="1"/>
  <c r="AL40" i="1"/>
  <c r="AK40" i="1"/>
  <c r="AL39" i="1"/>
  <c r="AK39" i="1"/>
  <c r="AL38" i="1"/>
  <c r="AK38" i="1"/>
  <c r="AL37" i="1"/>
  <c r="AK37" i="1"/>
  <c r="AL36" i="1"/>
  <c r="AK36" i="1"/>
  <c r="AL35" i="1"/>
  <c r="AK35" i="1"/>
  <c r="AL34" i="1"/>
  <c r="AK34" i="1"/>
  <c r="AL33" i="1"/>
  <c r="AK33" i="1"/>
  <c r="AL32" i="1"/>
  <c r="AK32" i="1"/>
  <c r="AL31" i="1"/>
  <c r="AK31" i="1"/>
  <c r="AL30" i="1"/>
  <c r="AK30" i="1"/>
  <c r="AL29" i="1"/>
  <c r="AK29" i="1"/>
  <c r="AL28" i="1"/>
  <c r="AK28" i="1"/>
  <c r="AL27" i="1"/>
  <c r="AK27" i="1"/>
  <c r="AL26" i="1"/>
  <c r="AK26" i="1"/>
  <c r="AL25" i="1"/>
  <c r="AK25" i="1"/>
  <c r="AL24" i="1"/>
  <c r="AK24" i="1"/>
  <c r="AL23" i="1"/>
  <c r="AK23" i="1"/>
  <c r="AL22" i="1"/>
  <c r="AK22" i="1"/>
  <c r="AL21" i="1"/>
  <c r="AK21" i="1"/>
  <c r="AL20" i="1"/>
  <c r="AK20" i="1"/>
  <c r="AL19" i="1"/>
  <c r="AK19" i="1"/>
  <c r="AL18" i="1"/>
  <c r="AK18" i="1"/>
  <c r="AL17" i="1"/>
  <c r="AK17" i="1"/>
  <c r="AL16" i="1"/>
  <c r="AK16" i="1"/>
  <c r="AL15" i="1"/>
  <c r="AK15" i="1"/>
  <c r="AL14" i="1"/>
  <c r="AK14" i="1"/>
  <c r="AL13" i="1"/>
  <c r="AK13" i="1"/>
  <c r="AL12" i="1"/>
  <c r="AK12" i="1"/>
  <c r="AL11" i="1"/>
  <c r="AK11" i="1"/>
  <c r="AL10" i="1"/>
  <c r="AK10" i="1"/>
  <c r="AL9" i="1"/>
  <c r="AK9" i="1"/>
  <c r="AL8" i="1"/>
  <c r="AK8" i="1"/>
  <c r="AL7" i="1"/>
  <c r="AK7" i="1"/>
  <c r="AL6" i="1"/>
  <c r="AK6" i="1"/>
  <c r="AK4" i="1"/>
  <c r="AK5" i="1"/>
  <c r="AL4" i="1"/>
  <c r="AL5" i="1"/>
  <c r="AK2" i="1"/>
  <c r="AL2" i="1"/>
  <c r="AK3" i="1"/>
  <c r="AL3" i="1"/>
  <c r="B9" i="4" l="1"/>
  <c r="D21" i="3" a="1"/>
  <c r="D21" i="3" s="1"/>
  <c r="D20" i="3" a="1"/>
  <c r="D20" i="3" s="1"/>
  <c r="G20" i="3" l="1" a="1"/>
  <c r="G20" i="3" s="1"/>
  <c r="G19" i="3" a="1"/>
  <c r="G19" i="3" s="1"/>
  <c r="G18" i="3" a="1"/>
  <c r="G18" i="3" s="1"/>
  <c r="G17" i="3" a="1"/>
  <c r="G17" i="3" s="1"/>
  <c r="D19" i="3" a="1"/>
  <c r="D19" i="3" s="1"/>
  <c r="D18" i="3" a="1"/>
  <c r="D18" i="3" s="1"/>
  <c r="D17" i="3" a="1"/>
  <c r="D17" i="3" s="1"/>
  <c r="G13" i="3" a="1"/>
  <c r="G13" i="3" s="1"/>
  <c r="G12" i="3" a="1"/>
  <c r="G12" i="3" s="1"/>
  <c r="G11" i="3" a="1"/>
  <c r="G11" i="3" s="1"/>
  <c r="D13" i="3" a="1"/>
  <c r="D13" i="3" s="1"/>
  <c r="C2" i="3" a="1"/>
  <c r="C2" i="3" s="1"/>
  <c r="C7" i="3" a="1"/>
  <c r="C7" i="3" s="1"/>
  <c r="D11" i="3" a="1"/>
  <c r="D11" i="3" s="1"/>
  <c r="D12" i="3" a="1"/>
  <c r="D12" i="3" s="1"/>
  <c r="K1" i="3"/>
  <c r="M1" i="3" s="1"/>
  <c r="C3" i="3" l="1" a="1"/>
  <c r="C3"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<sst xmlns="http://schemas.openxmlformats.org/spreadsheetml/2006/main" count="1171" uniqueCount="169">
  <si>
    <t>Company ID (18 Char)</t>
  </si>
  <si>
    <t>FivesCreated ID (18)</t>
  </si>
  <si>
    <t>Five Created Name</t>
  </si>
  <si>
    <t>Company Name</t>
  </si>
  <si>
    <t>Edit Date</t>
  </si>
  <si>
    <t>Old Value</t>
  </si>
  <si>
    <t>New Value</t>
  </si>
  <si>
    <t>Gene Accepted</t>
  </si>
  <si>
    <t>Assign Senior: Full Name</t>
  </si>
  <si>
    <t>Gene's Comments</t>
  </si>
  <si>
    <t>Current Prospect Status</t>
  </si>
  <si>
    <t>Prospect Source</t>
  </si>
  <si>
    <t>Split Credit</t>
  </si>
  <si>
    <t>Exclude Commissions</t>
  </si>
  <si>
    <t>Last Meaningful Interaction Date</t>
  </si>
  <si>
    <t>Last Meaningful Interaction</t>
  </si>
  <si>
    <t>Last Activity</t>
  </si>
  <si>
    <t>Scale Notes</t>
  </si>
  <si>
    <t>Growth Notes</t>
  </si>
  <si>
    <t>Profitability Notes</t>
  </si>
  <si>
    <t>Revenue Model Notes</t>
  </si>
  <si>
    <t>Ownership Dynamic Notes</t>
  </si>
  <si>
    <t>Concentrations Notes</t>
  </si>
  <si>
    <t>Capital Structure Notes</t>
  </si>
  <si>
    <t>Invested Capital ($)</t>
  </si>
  <si>
    <t>Description</t>
  </si>
  <si>
    <t>Employees (SS)</t>
  </si>
  <si>
    <t>Latest Raised (SS)</t>
  </si>
  <si>
    <t>Latest Raised Date (SS)</t>
  </si>
  <si>
    <t>Total Raised (SS)</t>
  </si>
  <si>
    <t>Ownership (SS)</t>
  </si>
  <si>
    <t>5 - Interesting Now</t>
  </si>
  <si>
    <t>Undecided</t>
  </si>
  <si>
    <t>Proprietary</t>
  </si>
  <si>
    <t>Private</t>
  </si>
  <si>
    <t>Upgraded By</t>
  </si>
  <si>
    <t>Team</t>
  </si>
  <si>
    <t>Qualification Parameters</t>
  </si>
  <si>
    <t>Website</t>
  </si>
  <si>
    <t>Latest Raised Date</t>
  </si>
  <si>
    <t>Latest Raised</t>
  </si>
  <si>
    <t>Total Raised</t>
  </si>
  <si>
    <t>Employees</t>
  </si>
  <si>
    <t>Additional Data</t>
  </si>
  <si>
    <t>Company Owner &amp; Team</t>
  </si>
  <si>
    <t>Company Owner</t>
  </si>
  <si>
    <t>Upgraded by Combined</t>
  </si>
  <si>
    <t>Count by Upgraded</t>
  </si>
  <si>
    <t>#</t>
  </si>
  <si>
    <t>2 - Unknown: In Workflow</t>
  </si>
  <si>
    <t>HQ</t>
  </si>
  <si>
    <t>USA</t>
  </si>
  <si>
    <t>HQ Country</t>
  </si>
  <si>
    <t>1300 x 605</t>
  </si>
  <si>
    <t>Weekly Fives Review</t>
  </si>
  <si>
    <t>4 - Track for Future</t>
  </si>
  <si>
    <t>None</t>
  </si>
  <si>
    <t>Venture Capital</t>
  </si>
  <si>
    <t>none</t>
  </si>
  <si>
    <t>$30M ARR</t>
  </si>
  <si>
    <t>001d000001cl1huAAA</t>
  </si>
  <si>
    <t>a1RVR000000D70T2AS</t>
  </si>
  <si>
    <t>FD240226_04141</t>
  </si>
  <si>
    <t>Delaget</t>
  </si>
  <si>
    <t>Ben MacShane</t>
  </si>
  <si>
    <t>Follow-up Conversation: Jason Tober (Delaget) with Ben MacShane 2/26/2024 (7 days ago).</t>
  </si>
  <si>
    <t>$15M EOY '23A ARR</t>
  </si>
  <si>
    <t>~40% 2022 Growth</t>
  </si>
  <si>
    <t>CF+ in 1H '24</t>
  </si>
  <si>
    <t>Subscription, per restaurant per month</t>
  </si>
  <si>
    <t>One outside shareholder</t>
  </si>
  <si>
    <t>None known</t>
  </si>
  <si>
    <t>2014: Northern Pacific Group investment (Series A)</t>
  </si>
  <si>
    <t>Delaget, LLC is an information service, transaction processing, and outsourced services company. The company offers loss prevention, reporting, analytics, and payroll and accounting services. The company serves its clients across the country.</t>
  </si>
  <si>
    <t>https://www.delaget.com</t>
  </si>
  <si>
    <t>0010V00002C75f9QAB</t>
  </si>
  <si>
    <t>a1RVR000000Di852AC</t>
  </si>
  <si>
    <t>FD240228_04144</t>
  </si>
  <si>
    <t>CCR</t>
  </si>
  <si>
    <t>Jordan Walton</t>
  </si>
  <si>
    <t>First Meeting: Mark Bonham (CCR) with Ben MacShane 2/28/2024 (5 days ago).</t>
  </si>
  <si>
    <t>$50M ARR (biz unit: $30M media/linear, $10M private LTE, $4M Ag, $2M construction, $4M gen. MSP</t>
  </si>
  <si>
    <t>Media/Linear: 8%. Private LTE flat, Ag. NA, construction 100%</t>
  </si>
  <si>
    <t>$7-9M of EBITDA</t>
  </si>
  <si>
    <t>Recurring</t>
  </si>
  <si>
    <t>100p by Kelly family</t>
  </si>
  <si>
    <t>None more than 10%</t>
  </si>
  <si>
    <t>Circle Computer Resources, Inc. (CCR) is an information service company. It offers a range of IT services to businesses and specializes in enterprise-level managed internet and connectivity services, broadcast monitoring, and cloud content sourcing. The company provides its services throughout the country.</t>
  </si>
  <si>
    <t>https://ccr.net</t>
  </si>
  <si>
    <t>0018X000034Pm6qQAC</t>
  </si>
  <si>
    <t>a1RVR000000ERI52AO</t>
  </si>
  <si>
    <t>FD240304_04159</t>
  </si>
  <si>
    <t>HeroDevs</t>
  </si>
  <si>
    <t>First Meeting: Aaron Frost (HeroDevs) with Ben MacShane 3/1/2024 (3 days ago).</t>
  </si>
  <si>
    <t>$19M of product rev, $10M of services</t>
  </si>
  <si>
    <t>50%+</t>
  </si>
  <si>
    <t>$12m of EBITDA</t>
  </si>
  <si>
    <t>recurring product rev. and services</t>
  </si>
  <si>
    <t>$8M from Album, rest is founder</t>
  </si>
  <si>
    <t>HeroDevs, LLC is a software development company. Its products include NES Vue 2, NES Angular, AngularJS XLTS, NES Protractor, Endbridge. The company offers Web, Web Development, Architecture, Open Source, End-of-Life, Angular, Vue, Nx, React, Cypress, and AngularJs. It provides services to its clients and business consumers.</t>
  </si>
  <si>
    <t>https://www.herodevs.com</t>
  </si>
  <si>
    <t>0013w00002UGhAOAA1</t>
  </si>
  <si>
    <t>a1RVR000000ERht2AG</t>
  </si>
  <si>
    <t>FD240304_04160</t>
  </si>
  <si>
    <t>Smarty</t>
  </si>
  <si>
    <t>First Meeting: Rob Green (SmartyStreets) with Ben MacShane 2/29/2024 (4 days ago).</t>
  </si>
  <si>
    <t>30% YoY</t>
  </si>
  <si>
    <t>30% EBITDA</t>
  </si>
  <si>
    <t>subscription SaaS</t>
  </si>
  <si>
    <t>100p founder owned</t>
  </si>
  <si>
    <t>SmartyStreets, LLC is to operate as a software services company that provides address validation and geocoding services. It offers on-demand USPS address verification, validation, certification, and standardization services.</t>
  </si>
  <si>
    <t>https://www.smarty.com</t>
  </si>
  <si>
    <t>Reference for Leo: 1-20. Fill out 1-10 on left, then 11-20 on right columns. If &gt;20, split evenly between 2 columns</t>
  </si>
  <si>
    <t>Upgraded By Ben MacShane</t>
  </si>
  <si>
    <t>Delaget2</t>
  </si>
  <si>
    <t>CCR2</t>
  </si>
  <si>
    <t>HeroDevs2</t>
  </si>
  <si>
    <t>Smarty2</t>
  </si>
  <si>
    <t>Delaget3</t>
  </si>
  <si>
    <t>CCR3</t>
  </si>
  <si>
    <t>HeroDevs3</t>
  </si>
  <si>
    <t>Smarty3</t>
  </si>
  <si>
    <t>Delaget4</t>
  </si>
  <si>
    <t>CCR5</t>
  </si>
  <si>
    <t>CCR4</t>
  </si>
  <si>
    <t>HeroDevs4</t>
  </si>
  <si>
    <t>Smarty4</t>
  </si>
  <si>
    <t>Delaget5</t>
  </si>
  <si>
    <t>HeroDevs5</t>
  </si>
  <si>
    <t>Smarty5</t>
  </si>
  <si>
    <t>Delaget6</t>
  </si>
  <si>
    <t>CCR6</t>
  </si>
  <si>
    <t>HeroDevs6</t>
  </si>
  <si>
    <t>Smarty6</t>
  </si>
  <si>
    <t>Delaget7</t>
  </si>
  <si>
    <t>CCR7</t>
  </si>
  <si>
    <t>HeroDevs7</t>
  </si>
  <si>
    <t>Smarty7</t>
  </si>
  <si>
    <t>Delaget8</t>
  </si>
  <si>
    <t>CCR8</t>
  </si>
  <si>
    <t>HeroDevs8</t>
  </si>
  <si>
    <t>Smarty8</t>
  </si>
  <si>
    <t>Delaget9</t>
  </si>
  <si>
    <t>CCR9</t>
  </si>
  <si>
    <t>HeroDevs9</t>
  </si>
  <si>
    <t>Smarty9</t>
  </si>
  <si>
    <t>Delaget10</t>
  </si>
  <si>
    <t>CCR10</t>
  </si>
  <si>
    <t>HeroDevs10</t>
  </si>
  <si>
    <t>Smarty10</t>
  </si>
  <si>
    <t>Delaget11</t>
  </si>
  <si>
    <t>CCR11</t>
  </si>
  <si>
    <t>HeroDevs11</t>
  </si>
  <si>
    <t>Smarty11</t>
  </si>
  <si>
    <t>Delaget12</t>
  </si>
  <si>
    <t>CCR12</t>
  </si>
  <si>
    <t>HeroDevs12</t>
  </si>
  <si>
    <t>Smarty12</t>
  </si>
  <si>
    <t>Gluteus Pencilman</t>
  </si>
  <si>
    <t>Preston Presstors</t>
  </si>
  <si>
    <t>Mike</t>
  </si>
  <si>
    <t>Lemon Levowitz</t>
  </si>
  <si>
    <t>Crustaceous Investments</t>
  </si>
  <si>
    <t>Classic Crew</t>
  </si>
  <si>
    <t>Yell Out For Me!</t>
  </si>
  <si>
    <t>Blend in Ben</t>
  </si>
  <si>
    <t>Apples</t>
  </si>
  <si>
    <t>Bananas</t>
  </si>
  <si>
    <t>Rhinoceros Rex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</si>
</sst>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0.0_);\(#,##0.0\)"/>
    <numFmt numFmtId="165" formatCode="[$-409]mmmm\ d\,\ yyyy;@"/>
    <numFmt numFmtId="166" formatCode="&quot;$&quot;#,##0"/>
    <numFmt numFmtId="167" formatCode="m/d/yy"/>
  </numFmts>
  <fonts count="35"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22"/>
      <color theme="1" tint="0.24994659260841701"/>
      <name val="Arial"/>
      <family val="2"/>
    </font>
    <font>
      <b/>
      <sz val="14"/>
      <color theme="1" tint="0.24994659260841701"/>
      <name val="Arial"/>
      <family val="2"/>
    </font>
    <font>
      <sz val="9"/>
      <color theme="1"/>
      <name val="Calibri"/>
      <family val="2"/>
      <scheme val="minor"/>
    </font>
    <font>
      <sz val="12"/>
      <color theme="1"/>
      <name val="Arial"/>
      <family val="2"/>
    </font>
    <font>
      <b/>
      <sz val="9"/>
      <color theme="1"/>
      <name val="Calibri"/>
      <family val="2"/>
      <scheme val="minor"/>
    </font>
    <font>
      <b/>
      <sz val="18"/>
      <color theme="1" tint="0.24994659260841701"/>
      <name val="Arial"/>
      <family val="2"/>
    </font>
    <font>
      <b/>
      <sz val="28"/>
      <color theme="1" tint="0.24994659260841701"/>
      <name val="Arial"/>
      <family val="2"/>
    </font>
    <font>
      <sz val="16"/>
      <color theme="1"/>
      <name val="Arial"/>
      <family val="2"/>
    </font>
    <font>
      <b/>
      <sz val="16"/>
      <color theme="1"/>
      <name val="Calibri"/>
      <family val="2"/>
      <scheme val="minor"/>
    </font>
    <font>
      <sz val="16"/>
      <color theme="1"/>
      <name val="Calibri"/>
      <family val="2"/>
      <scheme val="minor"/>
    </font>
    <font>
      <b/>
      <sz val="16"/>
      <color theme="0"/>
      <name val="Calibri"/>
      <family val="2"/>
      <scheme val="minor"/>
    </font>
    <font>
      <sz val="21"/>
      <color theme="1" tint="0.24994659260841701"/>
      <name val="Arial"/>
      <family val="2"/>
    </font>
    <font>
      <b/>
      <sz val="15"/>
      <color theme="1"/>
      <name val="Arial"/>
      <family val="2"/>
    </font>
    <font>
      <sz val="15"/>
      <color theme="1"/>
      <name val="Arial"/>
      <family val="2"/>
    </font>
    <font>
      <sz val="12"/>
      <color rgb="FF000000"/>
      <name val="Calibri"/>
      <family val="2"/>
    </font>
    <font>
      <sz val="20"/>
      <color theme="1" tint="0.24994659260841701"/>
      <name val="Arial"/>
      <family val="2"/>
    </font>
    <font>
      <sz val="14"/>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7" tint="0.79998168889431442"/>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ck">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medium">
        <color theme="0"/>
      </right>
      <top/>
      <bottom/>
      <diagonal/>
    </border>
    <border>
      <left style="medium">
        <color theme="0"/>
      </left>
      <right style="medium">
        <color theme="0"/>
      </right>
      <top/>
      <bottom/>
      <diagonal/>
    </border>
    <border>
      <left style="medium">
        <color theme="0"/>
      </left>
      <right/>
      <top/>
      <bottom/>
      <diagonal/>
    </border>
    <border>
      <left/>
      <right/>
      <top style="thin">
        <color theme="1"/>
      </top>
      <bottom style="thin">
        <color theme="1"/>
      </bottom>
      <diagonal/>
    </border>
    <border>
      <left/>
      <right/>
      <top style="thin">
        <color theme="1"/>
      </top>
      <bottom/>
      <diagonal/>
    </border>
  </borders>
  <cellStyleXfs count="47">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Protection="0">
      <alignment vertical="top"/>
    </xf>
    <xf numFmtId="0" fontId="20" fillId="0" borderId="0"/>
    <xf numFmtId="9" fontId="1" fillId="0" borderId="0" applyFont="0" applyFill="0" applyBorder="0" applyAlignment="0" applyProtection="0"/>
  </cellStyleXfs>
  <cellXfs count="48">
    <xf numFmtId="0" fontId="0" fillId="0" borderId="0" xfId="0"/>
    <xf numFmtId="164" fontId="20" fillId="0" borderId="0" xfId="45" applyNumberFormat="1"/>
    <xf numFmtId="0" fontId="0" fillId="0" borderId="10" xfId="0" applyBorder="1"/>
    <xf numFmtId="0" fontId="21" fillId="0" borderId="10" xfId="0" applyFont="1" applyBorder="1"/>
    <xf numFmtId="164" fontId="0" fillId="0" borderId="11" xfId="0" applyNumberFormat="1" applyBorder="1"/>
    <xf numFmtId="0" fontId="16" fillId="0" borderId="0" xfId="0" applyFont="1"/>
    <xf numFmtId="164" fontId="22" fillId="0" borderId="0" xfId="45" applyNumberFormat="1" applyFont="1"/>
    <xf numFmtId="0" fontId="21" fillId="34" borderId="10" xfId="0" applyFont="1" applyFill="1" applyBorder="1"/>
    <xf numFmtId="0" fontId="21" fillId="0" borderId="10" xfId="0" applyFont="1" applyBorder="1" applyAlignment="1">
      <alignment wrapText="1"/>
    </xf>
    <xf numFmtId="164" fontId="23" fillId="0" borderId="11" xfId="44" applyNumberFormat="1" applyFont="1" applyBorder="1">
      <alignment vertical="top"/>
    </xf>
    <xf numFmtId="164" fontId="24" fillId="0" borderId="10" xfId="43" applyNumberFormat="1" applyFont="1" applyBorder="1"/>
    <xf numFmtId="164" fontId="24" fillId="0" borderId="0" xfId="43" applyNumberFormat="1" applyFont="1"/>
    <xf numFmtId="0" fontId="26" fillId="0" borderId="0" xfId="0" applyFont="1"/>
    <xf numFmtId="0" fontId="27" fillId="0" borderId="0" xfId="0" applyFont="1"/>
    <xf numFmtId="164" fontId="29" fillId="0" borderId="10" xfId="43" applyNumberFormat="1" applyFont="1" applyBorder="1"/>
    <xf numFmtId="0" fontId="30" fillId="0" borderId="10" xfId="0" applyFont="1" applyBorder="1" applyAlignment="1">
      <alignment horizontal="left" vertical="top"/>
    </xf>
    <xf numFmtId="0" fontId="31" fillId="0" borderId="10" xfId="0" applyFont="1" applyBorder="1" applyAlignment="1">
      <alignment horizontal="left" vertical="top" wrapText="1"/>
    </xf>
    <xf numFmtId="0" fontId="31" fillId="0" borderId="10" xfId="0" applyFont="1" applyBorder="1" applyAlignment="1">
      <alignment horizontal="left" vertical="top"/>
    </xf>
    <xf numFmtId="165" fontId="31" fillId="0" borderId="10" xfId="1" applyNumberFormat="1" applyFont="1" applyBorder="1" applyAlignment="1">
      <alignment horizontal="left" vertical="top" wrapText="1"/>
    </xf>
    <xf numFmtId="164" fontId="0" fillId="0" borderId="11" xfId="0" applyNumberFormat="1" applyBorder="1" applyAlignment="1">
      <alignment wrapText="1"/>
    </xf>
    <xf numFmtId="0" fontId="0" fillId="35" borderId="0" xfId="0" applyFill="1"/>
    <xf numFmtId="9" fontId="31" fillId="0" borderId="10" xfId="0" applyNumberFormat="1" applyFont="1" applyBorder="1" applyAlignment="1">
      <alignment horizontal="left" vertical="top" wrapText="1"/>
    </xf>
    <xf numFmtId="9" fontId="31" fillId="0" borderId="10" xfId="46" applyFont="1" applyBorder="1" applyAlignment="1">
      <alignment horizontal="left" vertical="top" wrapText="1"/>
    </xf>
    <xf numFmtId="0" fontId="21" fillId="36" borderId="10" xfId="0" applyFont="1" applyFill="1" applyBorder="1" applyAlignment="1">
      <alignment horizontal="right"/>
    </xf>
    <xf numFmtId="0" fontId="28" fillId="33" borderId="15" xfId="0" applyFont="1" applyFill="1" applyBorder="1" applyAlignment="1">
      <alignment horizontal="center" vertical="center"/>
    </xf>
    <xf numFmtId="0" fontId="28" fillId="33" borderId="16" xfId="0" applyFont="1" applyFill="1" applyBorder="1"/>
    <xf numFmtId="0" fontId="28" fillId="33" borderId="17" xfId="0" applyFont="1" applyFill="1" applyBorder="1"/>
    <xf numFmtId="166" fontId="31" fillId="0" borderId="10" xfId="1" applyNumberFormat="1" applyFont="1" applyBorder="1" applyAlignment="1">
      <alignment horizontal="left" vertical="top" wrapText="1"/>
    </xf>
    <xf numFmtId="0" fontId="31" fillId="0" borderId="10" xfId="0" applyFont="1" applyBorder="1"/>
    <xf numFmtId="0" fontId="30" fillId="0" borderId="10" xfId="0" applyFont="1" applyBorder="1"/>
    <xf numFmtId="14" fontId="33" fillId="0" borderId="0" xfId="44" applyNumberFormat="1" applyFont="1" applyFill="1">
      <alignment vertical="top"/>
    </xf>
    <xf numFmtId="14" fontId="0" fillId="0" borderId="0" xfId="0" applyNumberFormat="1"/>
    <xf numFmtId="164" fontId="34" fillId="0" borderId="0" xfId="45" applyNumberFormat="1" applyFont="1"/>
    <xf numFmtId="0" fontId="25" fillId="0" borderId="12" xfId="0" applyFont="1"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0" fillId="0" borderId="0" xfId="0" applyAlignment="1"/>
    <xf numFmtId="0" fontId="0" fillId="0" borderId="0" xfId="0" applyFill="1" applyAlignment="1"/>
    <xf numFmtId="0" fontId="0" fillId="0" borderId="18" xfId="0" applyFont="1" applyFill="1" applyBorder="1" applyAlignment="1"/>
    <xf numFmtId="167" fontId="0" fillId="0" borderId="0" xfId="0" applyNumberFormat="1" applyAlignment="1"/>
    <xf numFmtId="9" fontId="0" fillId="0" borderId="0" xfId="0" applyNumberFormat="1" applyAlignment="1"/>
    <xf numFmtId="0" fontId="0" fillId="0" borderId="0" xfId="0" applyNumberFormat="1" applyAlignment="1"/>
    <xf numFmtId="0" fontId="0" fillId="0" borderId="0" xfId="0" applyBorder="1" applyAlignment="1"/>
    <xf numFmtId="0" fontId="0" fillId="0" borderId="0" xfId="0" applyFill="1" applyBorder="1" applyAlignment="1"/>
    <xf numFmtId="0" fontId="0" fillId="0" borderId="19" xfId="0" applyFont="1" applyFill="1" applyBorder="1" applyAlignment="1"/>
    <xf numFmtId="167" fontId="0" fillId="0" borderId="0" xfId="0" applyNumberFormat="1" applyBorder="1" applyAlignment="1"/>
    <xf numFmtId="9" fontId="0" fillId="0" borderId="0" xfId="0" applyNumberFormat="1" applyBorder="1" applyAlignment="1"/>
    <xf numFmtId="0" fontId="0" fillId="0" borderId="0" xfId="0" applyNumberFormat="1" applyBorder="1" applyAlignment="1"/>
  </cellXfs>
  <cellStyles count="47">
    <cellStyle name="_Heading" xfId="43" xr:uid="{00000000-0005-0000-0000-000000000000}"/>
    <cellStyle name="_SubHeading" xfId="44" xr:uid="{00000000-0005-0000-0000-000001000000}"/>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45" xr:uid="{00000000-0005-0000-0000-000028000000}"/>
    <cellStyle name="Note" xfId="16" builtinId="10" customBuiltin="1"/>
    <cellStyle name="Output" xfId="11" builtinId="21" customBuiltin="1"/>
    <cellStyle name="Percent" xfId="46" builtinId="5"/>
    <cellStyle name="Title" xfId="2" builtinId="15" customBuiltin="1"/>
    <cellStyle name="Total" xfId="18" builtinId="25" customBuiltin="1"/>
    <cellStyle name="Warning Text" xfId="15" builtinId="11" customBuiltin="1"/>
  </cellStyles>
  <dxfs count="39">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bgColor auto="1"/>
        </patternFill>
      </fill>
      <alignment horizontal="general" vertical="bottom" textRotation="0" wrapText="0" indent="0" justifyLastLine="0" shrinkToFit="0" readingOrder="0"/>
      <border diagonalUp="0" diagonalDown="0">
        <left/>
        <right/>
        <top style="thin">
          <color theme="1"/>
        </top>
        <bottom style="thin">
          <color theme="1"/>
        </bottom>
      </border>
    </dxf>
    <dxf>
      <fill>
        <patternFill patternType="none">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399563</xdr:colOff>
      <xdr:row>1</xdr:row>
      <xdr:rowOff>58615</xdr:rowOff>
    </xdr:from>
    <xdr:to>
      <xdr:col>3</xdr:col>
      <xdr:colOff>2019301</xdr:colOff>
      <xdr:row>6</xdr:row>
      <xdr:rowOff>15743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9563" y="439615"/>
          <a:ext cx="5286130" cy="10415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F31211EA-6EA1-48F3-BAE1-4B7CE899BE1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163512</xdr:rowOff>
        </xdr:from>
        <xdr:to>
          <xdr:col>12</xdr:col>
          <xdr:colOff>184150</xdr:colOff>
          <xdr:row>2</xdr:row>
          <xdr:rowOff>100012</xdr:rowOff>
        </xdr:to>
        <xdr:sp macro="" textlink="">
          <xdr:nvSpPr>
            <xdr:cNvPr id="518145" name="Button 1" descr="Run" hidden="1">
              <a:extLst>
                <a:ext uri="{63B3BB69-23CF-44E3-9099-C40C66FF867C}">
                  <a14:compatExt spid="_x0000_s518145"/>
                </a:ext>
                <a:ext uri="{FF2B5EF4-FFF2-40B4-BE49-F238E27FC236}">
                  <a16:creationId xmlns:a16="http://schemas.microsoft.com/office/drawing/2014/main" id="{192DC442-A92C-4E54-877E-6A95B004CCE6}"/>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518146" name="Button 2" hidden="1">
              <a:extLst>
                <a:ext uri="{63B3BB69-23CF-44E3-9099-C40C66FF867C}">
                  <a14:compatExt spid="_x0000_s518146"/>
                </a:ext>
                <a:ext uri="{FF2B5EF4-FFF2-40B4-BE49-F238E27FC236}">
                  <a16:creationId xmlns:a16="http://schemas.microsoft.com/office/drawing/2014/main" id="{09EAFADE-078A-4EEA-88E0-2E6DFA7D222D}"/>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0" y="215900"/>
          <a:ext cx="914400" cy="922972"/>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163512</xdr:rowOff>
        </xdr:from>
        <xdr:to>
          <xdr:col>12</xdr:col>
          <xdr:colOff>184150</xdr:colOff>
          <xdr:row>2</xdr:row>
          <xdr:rowOff>100012</xdr:rowOff>
        </xdr:to>
        <xdr:sp macro="" textlink="">
          <xdr:nvSpPr>
            <xdr:cNvPr id="3073" name="Button 1" descr="Run"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38</xdr:col>
      <xdr:colOff>584200</xdr:colOff>
      <xdr:row>1</xdr:row>
      <xdr:rowOff>0</xdr:rowOff>
    </xdr:from>
    <xdr:to>
      <xdr:col>48</xdr:col>
      <xdr:colOff>25400</xdr:colOff>
      <xdr:row>5</xdr:row>
      <xdr:rowOff>188334</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41516300" y="977900"/>
          <a:ext cx="7772400" cy="1890134"/>
        </a:xfrm>
        <a:prstGeom prst="rect">
          <a:avLst/>
        </a:prstGeom>
      </xdr:spPr>
    </xdr:pic>
    <xdr:clientData/>
  </xdr:twoCellAnchor>
  <xdr:twoCellAnchor editAs="oneCell">
    <xdr:from>
      <xdr:col>38</xdr:col>
      <xdr:colOff>533400</xdr:colOff>
      <xdr:row>1</xdr:row>
      <xdr:rowOff>0</xdr:rowOff>
    </xdr:from>
    <xdr:to>
      <xdr:col>41</xdr:col>
      <xdr:colOff>614680</xdr:colOff>
      <xdr:row>4</xdr:row>
      <xdr:rowOff>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41465500" y="292100"/>
          <a:ext cx="2633980" cy="647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ives" displayName="Fives" ref="A1:AL49" totalsRowShown="0" dataDxfId="38">
  <autoFilter ref="A1:AL49" xr:uid="{00000000-0009-0000-0100-000001000000}"/>
  <sortState xmlns:xlrd2="http://schemas.microsoft.com/office/spreadsheetml/2017/richdata2" ref="A2:AL5">
    <sortCondition descending="1" ref="AK2:AK5"/>
    <sortCondition ref="AL2:AL5"/>
    <sortCondition ref="H2:H5"/>
  </sortState>
  <tableColumns count="38">
    <tableColumn id="1" xr3:uid="{00000000-0010-0000-0000-000001000000}" name="Company ID (18 Char)" dataDxfId="37"/>
    <tableColumn id="2" xr3:uid="{00000000-0010-0000-0000-000002000000}" name="FivesCreated ID (18)" dataDxfId="36"/>
    <tableColumn id="3" xr3:uid="{00000000-0010-0000-0000-000003000000}" name="Five Created Name" dataDxfId="35"/>
    <tableColumn id="4" xr3:uid="{00000000-0010-0000-0000-000004000000}" name="Company Name" dataDxfId="34"/>
    <tableColumn id="35" xr3:uid="{00000000-0010-0000-0000-000023000000}" name="Company Owner" dataDxfId="33"/>
    <tableColumn id="33" xr3:uid="{00000000-0010-0000-0000-000021000000}" name="Team" dataDxfId="32"/>
    <tableColumn id="5" xr3:uid="{00000000-0010-0000-0000-000005000000}" name="Upgraded By" dataDxfId="31"/>
    <tableColumn id="6" xr3:uid="{00000000-0010-0000-0000-000006000000}" name="Edit Date" dataDxfId="30"/>
    <tableColumn id="7" xr3:uid="{00000000-0010-0000-0000-000007000000}" name="Old Value" dataDxfId="29"/>
    <tableColumn id="8" xr3:uid="{00000000-0010-0000-0000-000008000000}" name="New Value" dataDxfId="28"/>
    <tableColumn id="9" xr3:uid="{00000000-0010-0000-0000-000009000000}" name="Gene Accepted" dataDxfId="27"/>
    <tableColumn id="10" xr3:uid="{00000000-0010-0000-0000-00000A000000}" name="Assign Senior: Full Name" dataDxfId="26"/>
    <tableColumn id="11" xr3:uid="{00000000-0010-0000-0000-00000B000000}" name="Gene's Comments" dataDxfId="25"/>
    <tableColumn id="12" xr3:uid="{00000000-0010-0000-0000-00000C000000}" name="Current Prospect Status" dataDxfId="24"/>
    <tableColumn id="13" xr3:uid="{00000000-0010-0000-0000-00000D000000}" name="Prospect Source" dataDxfId="23"/>
    <tableColumn id="14" xr3:uid="{00000000-0010-0000-0000-00000E000000}" name="Split Credit" dataDxfId="22"/>
    <tableColumn id="15" xr3:uid="{00000000-0010-0000-0000-00000F000000}" name="Exclude Commissions" dataDxfId="21"/>
    <tableColumn id="16" xr3:uid="{00000000-0010-0000-0000-000010000000}" name="Last Meaningful Interaction Date" dataDxfId="20"/>
    <tableColumn id="17" xr3:uid="{00000000-0010-0000-0000-000011000000}" name="Last Meaningful Interaction" dataDxfId="19"/>
    <tableColumn id="18" xr3:uid="{00000000-0010-0000-0000-000012000000}" name="Last Activity" dataDxfId="18"/>
    <tableColumn id="19" xr3:uid="{00000000-0010-0000-0000-000013000000}" name="Scale Notes" dataDxfId="17"/>
    <tableColumn id="20" xr3:uid="{00000000-0010-0000-0000-000014000000}" name="Growth Notes" dataDxfId="16"/>
    <tableColumn id="21" xr3:uid="{00000000-0010-0000-0000-000015000000}" name="Profitability Notes" dataDxfId="15"/>
    <tableColumn id="22" xr3:uid="{00000000-0010-0000-0000-000016000000}" name="Revenue Model Notes" dataDxfId="14"/>
    <tableColumn id="23" xr3:uid="{00000000-0010-0000-0000-000017000000}" name="Ownership Dynamic Notes" dataDxfId="13"/>
    <tableColumn id="24" xr3:uid="{00000000-0010-0000-0000-000018000000}" name="Concentrations Notes" dataDxfId="12"/>
    <tableColumn id="25" xr3:uid="{00000000-0010-0000-0000-000019000000}" name="Capital Structure Notes" dataDxfId="11"/>
    <tableColumn id="26" xr3:uid="{00000000-0010-0000-0000-00001A000000}" name="Invested Capital ($)" dataDxfId="10"/>
    <tableColumn id="27" xr3:uid="{00000000-0010-0000-0000-00001B000000}" name="Description" dataDxfId="9"/>
    <tableColumn id="28" xr3:uid="{00000000-0010-0000-0000-00001C000000}" name="Employees (SS)" dataDxfId="8"/>
    <tableColumn id="29" xr3:uid="{00000000-0010-0000-0000-00001D000000}" name="Latest Raised (SS)" dataDxfId="7"/>
    <tableColumn id="30" xr3:uid="{00000000-0010-0000-0000-00001E000000}" name="Latest Raised Date (SS)" dataDxfId="6"/>
    <tableColumn id="31" xr3:uid="{00000000-0010-0000-0000-00001F000000}" name="Total Raised (SS)" dataDxfId="5"/>
    <tableColumn id="32" xr3:uid="{00000000-0010-0000-0000-000020000000}" name="Ownership (SS)" dataDxfId="4"/>
    <tableColumn id="34" xr3:uid="{00000000-0010-0000-0000-000022000000}" name="Website" dataDxfId="3"/>
    <tableColumn id="38" xr3:uid="{9280D4AC-C314-0F40-96A9-325E1158FB61}" name="HQ" dataDxfId="2"/>
    <tableColumn id="36" xr3:uid="{17CF8313-2E40-7E4B-A5CA-02C94CF909FA}" name="Count by Upgraded" dataDxfId="1">
      <calculatedColumnFormula>COUNTIF(Fives[Upgraded By],Fives[[#This Row],[Upgraded By]])</calculatedColumnFormula>
    </tableColumn>
    <tableColumn id="37" xr3:uid="{54A5F48F-9ECA-CB49-B713-C3FB79780F80}" name="Upgraded by Combined" dataDxfId="0">
      <calculatedColumnFormula>IF(Fives[[#This Row],[Split Credit]]="",Fives[[#This Row],[Upgraded By]],IF(ISNUMBER(FIND(Fives[[#This Row],[Upgraded By]],Fives[[#This Row],[Split Credit]])),Fives[[#This Row],[Split Credit]],Fives[[#This Row],[Upgraded By]]&amp;"; "&amp;Fives[[#This Row],[Split Credit]]))</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1:H37"/>
  <sheetViews>
    <sheetView showGridLines="0" tabSelected="1" zoomScale="34" zoomScaleNormal="40" workbookViewId="0">
      <selection activeCell="F8" sqref="F8"/>
    </sheetView>
  </sheetViews>
  <sheetFormatPr defaultColWidth="7.6640625" defaultRowHeight="12.25" x14ac:dyDescent="0.65"/>
  <cols>
    <col min="1" max="1" width="5.1640625" style="1" customWidth="1"/>
    <col min="2" max="2" width="5" style="6" customWidth="1"/>
    <col min="3" max="3" width="38" style="1" customWidth="1"/>
    <col min="4" max="4" width="56.6640625" style="1" customWidth="1"/>
    <col min="5" max="5" width="5.33203125" style="1" customWidth="1"/>
    <col min="6" max="6" width="5" style="1" customWidth="1"/>
    <col min="7" max="7" width="45" style="1" customWidth="1"/>
    <col min="8" max="8" width="39.33203125" style="1" customWidth="1"/>
    <col min="9" max="16384" width="7.6640625" style="1"/>
  </cols>
  <sheetData>
    <row r="1" spans="2:8" ht="30" customHeight="1" x14ac:dyDescent="0.65"/>
    <row r="6" spans="2:8" ht="36" customHeight="1" x14ac:dyDescent="0.65"/>
    <row r="7" spans="2:8" ht="13" customHeight="1" x14ac:dyDescent="0.65"/>
    <row r="8" spans="2:8" ht="35" x14ac:dyDescent="1.4">
      <c r="B8" s="11" t="s">
        <v>54</v>
      </c>
      <c r="G8" s="32" t="s">
        <v>112</v>
      </c>
    </row>
    <row r="9" spans="2:8" ht="25" x14ac:dyDescent="0.65">
      <c r="B9" s="30" t="str">
        <f ca="1">"Week of "&amp;TEXT(TODAY(),"M/D/YYYY")</f>
        <v>Week of 3/26/2024</v>
      </c>
    </row>
    <row r="10" spans="2:8" ht="21" x14ac:dyDescent="1">
      <c r="B10" s="12"/>
      <c r="C10" s="13"/>
      <c r="D10" s="13"/>
    </row>
    <row r="11" spans="2:8" ht="16" x14ac:dyDescent="0.8">
      <c r="B11" s="5"/>
      <c r="C11"/>
    </row>
    <row r="12" spans="2:8" ht="21" x14ac:dyDescent="1">
      <c r="B12" s="24" t="s">
        <v>48</v>
      </c>
      <c r="C12" s="25" t="s">
        <v>3</v>
      </c>
      <c r="D12" s="26" t="s">
        <v>35</v>
      </c>
      <c r="F12" s="24" t="s">
        <v>48</v>
      </c>
      <c r="G12" s="25" t="s">
        <v>3</v>
      </c>
      <c r="H12" s="26" t="s">
        <v>35</v>
      </c>
    </row>
    <row r="13" spans="2:8" ht="21" x14ac:dyDescent="1">
      <c r="B13" s="12">
        <v>1</v>
      </c>
      <c r="C13" s="13" t="s">
        <v>63</v>
      </c>
      <c r="D13" s="13" t="s">
        <v>64</v>
      </c>
      <c r="F13" s="12">
        <v>26</v>
      </c>
      <c r="G13" s="13"/>
      <c r="H13" s="13"/>
    </row>
    <row r="14" spans="2:8" ht="21" x14ac:dyDescent="1">
      <c r="B14" s="12">
        <v>2</v>
      </c>
      <c r="C14" s="13"/>
      <c r="D14" s="13"/>
      <c r="F14" s="12">
        <v>27</v>
      </c>
      <c r="G14" s="13"/>
      <c r="H14" s="13"/>
    </row>
    <row r="15" spans="2:8" ht="21" x14ac:dyDescent="1">
      <c r="B15" s="12">
        <v>3</v>
      </c>
      <c r="C15" s="13"/>
      <c r="D15" s="13"/>
      <c r="F15" s="12">
        <v>28</v>
      </c>
      <c r="G15" s="13"/>
      <c r="H15" s="13"/>
    </row>
    <row r="16" spans="2:8" ht="21" x14ac:dyDescent="1">
      <c r="B16" s="12">
        <v>4</v>
      </c>
      <c r="C16" s="13"/>
      <c r="D16" s="13"/>
      <c r="F16" s="12">
        <v>29</v>
      </c>
      <c r="G16" s="13"/>
      <c r="H16" s="13"/>
    </row>
    <row r="17" spans="2:8" ht="21" x14ac:dyDescent="1">
      <c r="B17" s="12">
        <v>5</v>
      </c>
      <c r="C17" s="13"/>
      <c r="D17" s="13"/>
      <c r="F17" s="12">
        <v>30</v>
      </c>
      <c r="G17" s="13"/>
      <c r="H17" s="13"/>
    </row>
    <row r="18" spans="2:8" ht="21" x14ac:dyDescent="1">
      <c r="B18" s="12">
        <v>6</v>
      </c>
      <c r="C18" s="13"/>
      <c r="D18" s="13"/>
      <c r="F18" s="12">
        <v>31</v>
      </c>
      <c r="G18" s="13"/>
      <c r="H18" s="13"/>
    </row>
    <row r="19" spans="2:8" ht="21" x14ac:dyDescent="1">
      <c r="B19" s="12">
        <v>7</v>
      </c>
      <c r="C19" s="13"/>
      <c r="D19" s="13"/>
      <c r="F19" s="12">
        <v>32</v>
      </c>
      <c r="G19" s="13"/>
      <c r="H19" s="13"/>
    </row>
    <row r="20" spans="2:8" ht="21" x14ac:dyDescent="1">
      <c r="B20" s="12">
        <v>8</v>
      </c>
      <c r="C20" s="13"/>
      <c r="D20" s="13"/>
      <c r="F20" s="12">
        <v>33</v>
      </c>
      <c r="G20" s="13"/>
      <c r="H20" s="13"/>
    </row>
    <row r="21" spans="2:8" ht="21" x14ac:dyDescent="1">
      <c r="B21" s="12">
        <v>9</v>
      </c>
      <c r="C21" s="13"/>
      <c r="D21" s="13"/>
      <c r="F21" s="12">
        <v>34</v>
      </c>
      <c r="G21" s="13"/>
      <c r="H21" s="13"/>
    </row>
    <row r="22" spans="2:8" ht="21" x14ac:dyDescent="1">
      <c r="B22" s="12">
        <v>10</v>
      </c>
      <c r="C22" s="13"/>
      <c r="D22" s="13"/>
      <c r="F22" s="12">
        <v>35</v>
      </c>
      <c r="G22" s="13"/>
      <c r="H22" s="13"/>
    </row>
    <row r="23" spans="2:8" ht="21" x14ac:dyDescent="1">
      <c r="B23" s="12">
        <v>11</v>
      </c>
      <c r="C23" s="13"/>
      <c r="D23" s="13"/>
      <c r="F23" s="12">
        <v>36</v>
      </c>
      <c r="G23" s="13"/>
      <c r="H23" s="13"/>
    </row>
    <row r="24" spans="2:8" ht="21" x14ac:dyDescent="1">
      <c r="B24" s="12">
        <v>12</v>
      </c>
      <c r="C24" s="13"/>
      <c r="D24" s="13"/>
      <c r="F24" s="12">
        <v>37</v>
      </c>
      <c r="G24" s="13"/>
      <c r="H24" s="13"/>
    </row>
    <row r="25" spans="2:8" ht="21" x14ac:dyDescent="1">
      <c r="B25" s="12">
        <v>13</v>
      </c>
      <c r="C25" s="13"/>
      <c r="D25" s="13"/>
      <c r="F25" s="1">
        <v>38</v>
      </c>
    </row>
    <row r="26" spans="2:8" ht="21" x14ac:dyDescent="1">
      <c r="B26" s="12">
        <v>14</v>
      </c>
      <c r="C26" s="13"/>
      <c r="D26" s="13"/>
      <c r="F26" s="1">
        <v>39</v>
      </c>
    </row>
    <row r="27" spans="2:8" ht="21" x14ac:dyDescent="1">
      <c r="B27" s="12">
        <v>15</v>
      </c>
      <c r="C27" s="13"/>
      <c r="D27" s="13"/>
      <c r="F27" s="1">
        <v>40</v>
      </c>
    </row>
    <row r="28" spans="2:8" ht="21" x14ac:dyDescent="1">
      <c r="B28" s="12">
        <v>16</v>
      </c>
      <c r="C28" s="13"/>
      <c r="D28" s="13"/>
      <c r="F28" s="1">
        <v>41</v>
      </c>
    </row>
    <row r="29" spans="2:8" ht="21" x14ac:dyDescent="1">
      <c r="B29" s="12">
        <v>17</v>
      </c>
      <c r="F29" s="1">
        <v>42</v>
      </c>
    </row>
    <row r="30" spans="2:8" ht="21" x14ac:dyDescent="1">
      <c r="B30" s="12">
        <v>18</v>
      </c>
      <c r="F30" s="1">
        <v>43</v>
      </c>
    </row>
    <row r="31" spans="2:8" ht="22" customHeight="1" x14ac:dyDescent="0.65">
      <c r="B31" s="6">
        <v>19</v>
      </c>
      <c r="F31" s="1">
        <v>44</v>
      </c>
    </row>
    <row r="32" spans="2:8" x14ac:dyDescent="0.65">
      <c r="B32" s="6">
        <v>20</v>
      </c>
      <c r="F32" s="1">
        <v>45</v>
      </c>
    </row>
    <row r="33" spans="2:6" x14ac:dyDescent="0.65">
      <c r="B33" s="6">
        <v>21</v>
      </c>
      <c r="F33" s="1">
        <v>46</v>
      </c>
    </row>
    <row r="34" spans="2:6" x14ac:dyDescent="0.65">
      <c r="B34" s="6">
        <v>22</v>
      </c>
      <c r="F34" s="1">
        <v>47</v>
      </c>
    </row>
    <row r="35" spans="2:6" x14ac:dyDescent="0.65">
      <c r="B35" s="6">
        <v>23</v>
      </c>
      <c r="F35" s="1">
        <v>48</v>
      </c>
    </row>
    <row r="36" spans="2:6" x14ac:dyDescent="0.65">
      <c r="B36" s="6">
        <v>24</v>
      </c>
      <c r="F36" s="1">
        <v>49</v>
      </c>
    </row>
    <row r="37" spans="2:6" x14ac:dyDescent="0.65">
      <c r="B37" s="6">
        <v>25</v>
      </c>
    </row>
  </sheetData>
  <sheetProtection sort="0" autoFilter="0"/>
  <dataConsolidate link="1"/>
  <pageMargins left="0.5" right="0.5" top="2.7" bottom="0.85" header="0.3" footer="0.3"/>
  <pageSetup fitToWidth="0" fitToHeight="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9A014-8DB9-4B92-A728-957A2452C77B}">
  <sheetPr codeName="Sheet5"/>
  <dimension ref="C1:ZX77"/>
  <sheetViews>
    <sheetView zoomScale="40" zoomScaleNormal="40" workbookViewId="0">
      <selection activeCell="G20" sqref="G20"/>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63</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3" t="s">
        <v>73</v>
      </c>
      <c r="D7" s="34"/>
      <c r="E7" s="34"/>
      <c r="F7" s="34"/>
      <c r="G7" s="35"/>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66</v>
      </c>
      <c r="E11" s="17"/>
      <c r="F11" s="15" t="s">
        <v>20</v>
      </c>
      <c r="G11" s="16" t="s">
        <v>69</v>
      </c>
      <c r="M11" s="3"/>
      <c r="N11" s="3"/>
    </row>
    <row r="12" spans="3:700" ht="19.25" x14ac:dyDescent="0.65">
      <c r="C12" s="15" t="s">
        <v>18</v>
      </c>
      <c r="D12" s="21" t="s">
        <v>67</v>
      </c>
      <c r="E12" s="17"/>
      <c r="F12" s="15" t="s">
        <v>21</v>
      </c>
      <c r="G12" s="16" t="s">
        <v>70</v>
      </c>
      <c r="M12" s="3"/>
      <c r="N12" s="3"/>
    </row>
    <row r="13" spans="3:700" ht="19.25" x14ac:dyDescent="0.65">
      <c r="C13" s="15" t="s">
        <v>19</v>
      </c>
      <c r="D13" s="22" t="s">
        <v>68</v>
      </c>
      <c r="E13" s="17"/>
      <c r="F13" s="15" t="s">
        <v>22</v>
      </c>
      <c r="G13" s="16" t="s">
        <v>71</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93</v>
      </c>
      <c r="M17" s="3"/>
      <c r="N17" s="3"/>
    </row>
    <row r="18" spans="3:14" ht="19.25" x14ac:dyDescent="0.65">
      <c r="C18" s="15" t="s">
        <v>11</v>
      </c>
      <c r="D18" s="16" t="s">
        <v>33</v>
      </c>
      <c r="E18" s="17"/>
      <c r="F18" s="15" t="s">
        <v>39</v>
      </c>
      <c r="G18" s="18">
        <v>44593</v>
      </c>
      <c r="M18" s="3"/>
      <c r="N18" s="3"/>
    </row>
    <row r="19" spans="3:14" ht="19.25" x14ac:dyDescent="0.65">
      <c r="C19" s="15" t="s">
        <v>12</v>
      </c>
      <c r="D19" s="16"/>
      <c r="E19" s="17"/>
      <c r="F19" s="15" t="s">
        <v>40</v>
      </c>
      <c r="G19" s="27"/>
      <c r="M19" s="3"/>
      <c r="N19" s="3"/>
    </row>
    <row r="20" spans="3:14" ht="19.25" x14ac:dyDescent="0.65">
      <c r="C20" s="15" t="s">
        <v>38</v>
      </c>
      <c r="D20" s="16" t="s">
        <v>74</v>
      </c>
      <c r="E20" s="17"/>
      <c r="F20" s="15" t="s">
        <v>41</v>
      </c>
      <c r="G20" s="27">
        <v>400000</v>
      </c>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8145"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518146"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1:ZX77"/>
  <sheetViews>
    <sheetView zoomScale="40" zoomScaleNormal="40" workbookViewId="0">
      <selection activeCell="G20" sqref="G20"/>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tr" cm="1">
        <f t="array" ref="C2">INDEX(Fives[],$J$1,4)</f>
        <v>HeroDevs</v>
      </c>
      <c r="M2" s="3"/>
      <c r="N2" s="3"/>
    </row>
    <row r="3" spans="3:700" ht="26.5" x14ac:dyDescent="1.1000000000000001">
      <c r="C3" s="14" t="str" cm="1">
        <f t="array" ref="C3">"Upgraded by "&amp;INDEX(Fives[Upgraded by Combined],$J$1,1)</f>
        <v>Upgraded by Classic Crew</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3" t="str" cm="1">
        <f t="array" ref="C7">IF(INDEX(Fives[],$J$1,29)=0,"",INDEX(Fives[],$J$1,29))</f>
        <v>HeroDevs, LLC is a software development company. Its products include NES Vue 2, NES Angular, AngularJS XLTS, NES Protractor, Endbridge. The company offers Web, Web Development, Architecture, Open Source, End-of-Life, Angular, Vue, Nx, React, Cypress, and AngularJs. It provides services to its clients and business consumers.</v>
      </c>
      <c r="D7" s="34"/>
      <c r="E7" s="34"/>
      <c r="F7" s="34"/>
      <c r="G7" s="35"/>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tr" cm="1">
        <f t="array" ref="D11">IF(INDEX(Fives[],$J$1,21)=0,"",INDEX(Fives[],$J$1,21))</f>
        <v>$19M of product rev, $10M of services</v>
      </c>
      <c r="E11" s="17"/>
      <c r="F11" s="15" t="s">
        <v>20</v>
      </c>
      <c r="G11" s="16" t="str" cm="1">
        <f t="array" ref="G11">IF(INDEX(Fives[],$J$1,24)=0,"",INDEX(Fives[],$J$1,24))</f>
        <v>recurring product rev. and services</v>
      </c>
      <c r="M11" s="3"/>
      <c r="N11" s="3"/>
    </row>
    <row r="12" spans="3:700" ht="19.25" x14ac:dyDescent="0.65">
      <c r="C12" s="15" t="s">
        <v>18</v>
      </c>
      <c r="D12" s="21" t="str" cm="1">
        <f t="array" ref="D12">IF(INDEX(Fives[],$J$1,22)=0,"",INDEX(Fives[],$J$1,22))</f>
        <v>50%+</v>
      </c>
      <c r="E12" s="17"/>
      <c r="F12" s="15" t="s">
        <v>21</v>
      </c>
      <c r="G12" s="16" t="str" cm="1">
        <f t="array" ref="G12">IF(INDEX(Fives[],$J$1,25)=0,"",INDEX(Fives[],$J$1,25))</f>
        <v>$8M from Album, rest is founder</v>
      </c>
      <c r="M12" s="3"/>
      <c r="N12" s="3"/>
    </row>
    <row r="13" spans="3:700" ht="19.25" x14ac:dyDescent="0.65">
      <c r="C13" s="15" t="s">
        <v>19</v>
      </c>
      <c r="D13" s="22" t="str" cm="1">
        <f t="array" ref="D13">IF(INDEX(Fives[],$J$1,23)=0,"",INDEX(Fives[],$J$1,23))</f>
        <v>$12m of EBITDA</v>
      </c>
      <c r="E13" s="17"/>
      <c r="F13" s="15" t="s">
        <v>22</v>
      </c>
      <c r="G13" s="16" t="str" cm="1">
        <f t="array" ref="G13">IF(INDEX(Fives[],$J$1,26)=0,"",INDEX(Fives[],$J$1,26))</f>
        <v>None</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tr" cm="1">
        <f t="array" ref="D17">IF(INDEX(Fives[],$J$1,6)="",INDEX(Fives[],$J$1,5),IF(ISNUMBER(FIND(INDEX(Fives[],$J$1,5),INDEX(Fives[],$J$1,6))),INDEX(Fives[],$J$1,6),INDEX(Fives[],$J$1,5)&amp;"; "&amp;INDEX(Fives[],$J$1,6)))</f>
        <v>Ben MacShane</v>
      </c>
      <c r="E17" s="17"/>
      <c r="F17" s="15" t="s">
        <v>42</v>
      </c>
      <c r="G17" s="16" cm="1">
        <f t="array" ref="G17">IF(INDEX(Fives[],$J$1,30)=0,"",INDEX(Fives[],$J$1,30))</f>
        <v>59</v>
      </c>
      <c r="M17" s="3"/>
      <c r="N17" s="3"/>
    </row>
    <row r="18" spans="3:14" ht="19.25" x14ac:dyDescent="0.65">
      <c r="C18" s="15" t="s">
        <v>11</v>
      </c>
      <c r="D18" s="16" t="str" cm="1">
        <f t="array" ref="D18">IF(INDEX(Fives[],$J$1,15)=0,"",INDEX(Fives[],$J$1,15))</f>
        <v>Proprietary</v>
      </c>
      <c r="E18" s="17"/>
      <c r="F18" s="15" t="s">
        <v>39</v>
      </c>
      <c r="G18" s="18" t="str" cm="1">
        <f t="array" ref="G18">IF(INDEX(Fives[],$J$1,32)=0,"",INDEX(Fives[],$J$1,32))</f>
        <v/>
      </c>
      <c r="M18" s="3"/>
      <c r="N18" s="3"/>
    </row>
    <row r="19" spans="3:14" ht="19.25" x14ac:dyDescent="0.65">
      <c r="C19" s="15" t="s">
        <v>12</v>
      </c>
      <c r="D19" s="16" t="str" cm="1">
        <f t="array" ref="D19">IF(INDEX(Fives[],$J$1,16)=0,"",INDEX(Fives[],$J$1,16))</f>
        <v/>
      </c>
      <c r="E19" s="17"/>
      <c r="F19" s="15" t="s">
        <v>40</v>
      </c>
      <c r="G19" s="27" t="str" cm="1">
        <f t="array" ref="G19">IF(INDEX(Fives[],$J$1,31)=0,"",INDEX(Fives[],$J$1,31))</f>
        <v/>
      </c>
      <c r="M19" s="3"/>
      <c r="N19" s="3"/>
    </row>
    <row r="20" spans="3:14" ht="19.25" x14ac:dyDescent="0.65">
      <c r="C20" s="15" t="s">
        <v>38</v>
      </c>
      <c r="D20" s="16" t="str" cm="1">
        <f t="array" ref="D20">IF(INDEX(Fives[],$J$1,35)=0,"",INDEX(Fives[],$J$1,35))</f>
        <v>https://www.herodevs.com</v>
      </c>
      <c r="E20" s="17"/>
      <c r="F20" s="15" t="s">
        <v>41</v>
      </c>
      <c r="G20" s="27" t="str" cm="1">
        <f t="array" ref="G20">IF(INDEX(Fives[],$J$1,33)=0,"",INDEX(Fives[],$J$1,33))</f>
        <v/>
      </c>
      <c r="M20" s="3"/>
      <c r="N20" s="3"/>
    </row>
    <row r="21" spans="3:14" ht="19.25" x14ac:dyDescent="0.85">
      <c r="C21" s="29" t="s">
        <v>52</v>
      </c>
      <c r="D21" s="28" t="str" cm="1">
        <f t="array" ref="D21">IF(INDEX(Fives[],$J$1,36)=0,"",INDEX(Fives[],$J$1,36))</f>
        <v>USA</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3074"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L49"/>
  <sheetViews>
    <sheetView topLeftCell="Z1" zoomScaleNormal="100" workbookViewId="0">
      <pane ySplit="1" topLeftCell="A2" activePane="bottomLeft" state="frozen"/>
      <selection activeCell="G20" sqref="G20"/>
      <selection pane="bottomLeft" activeCell="G20" sqref="G20"/>
    </sheetView>
  </sheetViews>
  <sheetFormatPr defaultColWidth="10.6640625" defaultRowHeight="16" x14ac:dyDescent="0.8"/>
  <cols>
    <col min="1" max="1" width="21.5" customWidth="1"/>
    <col min="2" max="2" width="20.33203125" customWidth="1"/>
    <col min="3" max="3" width="19.33203125" customWidth="1"/>
    <col min="4" max="4" width="23.83203125" customWidth="1"/>
    <col min="5" max="5" width="17.33203125" bestFit="1" customWidth="1"/>
    <col min="6" max="6" width="18" customWidth="1"/>
    <col min="7" max="7" width="23.33203125" customWidth="1"/>
    <col min="8" max="8" width="11.33203125" bestFit="1" customWidth="1"/>
    <col min="9" max="10" width="22.83203125" hidden="1" customWidth="1"/>
    <col min="11" max="11" width="20.33203125" hidden="1" customWidth="1"/>
    <col min="12" max="12" width="15.83203125" hidden="1" customWidth="1"/>
    <col min="13" max="13" width="24" hidden="1" customWidth="1"/>
    <col min="14" max="14" width="18.5" customWidth="1"/>
    <col min="15" max="15" width="22.6640625" customWidth="1"/>
    <col min="16" max="16" width="19.33203125" customWidth="1"/>
    <col min="17" max="17" width="16.5" hidden="1" customWidth="1"/>
    <col min="18" max="18" width="12.5" hidden="1" customWidth="1"/>
    <col min="19" max="19" width="21.1640625" hidden="1" customWidth="1"/>
    <col min="20" max="20" width="30.5" hidden="1" customWidth="1"/>
    <col min="21" max="21" width="26" customWidth="1"/>
    <col min="22" max="22" width="13.6640625" customWidth="1"/>
    <col min="23" max="23" width="23.1640625" customWidth="1"/>
    <col min="24" max="24" width="15" customWidth="1"/>
    <col min="25" max="25" width="18.5" customWidth="1"/>
    <col min="26" max="26" width="21.6640625" customWidth="1"/>
    <col min="27" max="27" width="21.83203125" hidden="1" customWidth="1"/>
    <col min="28" max="28" width="25.5" hidden="1" customWidth="1"/>
    <col min="29" max="29" width="25.6640625" customWidth="1"/>
    <col min="30" max="30" width="22.5" customWidth="1"/>
    <col min="31" max="31" width="19.5" customWidth="1"/>
    <col min="32" max="32" width="12.83203125" customWidth="1"/>
    <col min="33" max="33" width="16.33203125" customWidth="1"/>
    <col min="34" max="34" width="18.33203125" customWidth="1"/>
    <col min="35" max="36" width="22.83203125" customWidth="1"/>
    <col min="37" max="37" width="19.5" bestFit="1" customWidth="1"/>
    <col min="38" max="38" width="35.33203125" bestFit="1" customWidth="1"/>
    <col min="40" max="40" width="11.83203125" customWidth="1"/>
  </cols>
  <sheetData>
    <row r="1" spans="1:38" x14ac:dyDescent="0.8">
      <c r="A1" t="s">
        <v>0</v>
      </c>
      <c r="B1" t="s">
        <v>1</v>
      </c>
      <c r="C1" t="s">
        <v>2</v>
      </c>
      <c r="D1" t="s">
        <v>3</v>
      </c>
      <c r="E1" t="s">
        <v>45</v>
      </c>
      <c r="F1" t="s">
        <v>36</v>
      </c>
      <c r="G1" s="20" t="s">
        <v>35</v>
      </c>
      <c r="H1" t="s">
        <v>4</v>
      </c>
      <c r="I1" t="s">
        <v>5</v>
      </c>
      <c r="J1" t="s">
        <v>6</v>
      </c>
      <c r="K1" t="s">
        <v>7</v>
      </c>
      <c r="L1" t="s">
        <v>8</v>
      </c>
      <c r="M1" t="s">
        <v>9</v>
      </c>
      <c r="N1" t="s">
        <v>10</v>
      </c>
      <c r="O1" s="20" t="s">
        <v>11</v>
      </c>
      <c r="P1" s="20"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38</v>
      </c>
      <c r="AJ1" t="s">
        <v>50</v>
      </c>
      <c r="AK1" s="20" t="s">
        <v>47</v>
      </c>
      <c r="AL1" s="20" t="s">
        <v>46</v>
      </c>
    </row>
    <row r="2" spans="1:38" x14ac:dyDescent="0.8">
      <c r="A2" t="s">
        <v>60</v>
      </c>
      <c r="B2" t="s">
        <v>61</v>
      </c>
      <c r="C2" t="s">
        <v>62</v>
      </c>
      <c r="D2" t="s">
        <v>63</v>
      </c>
      <c r="E2" t="s">
        <v>64</v>
      </c>
      <c r="G2" t="s">
        <v>64</v>
      </c>
      <c r="H2" s="31">
        <v>45348</v>
      </c>
      <c r="I2" t="s">
        <v>55</v>
      </c>
      <c r="J2" t="s">
        <v>31</v>
      </c>
      <c r="K2" t="s">
        <v>32</v>
      </c>
      <c r="N2" t="s">
        <v>31</v>
      </c>
      <c r="O2" t="s">
        <v>33</v>
      </c>
      <c r="Q2">
        <v>0</v>
      </c>
      <c r="R2" s="31">
        <v>45348</v>
      </c>
      <c r="S2" t="s">
        <v>65</v>
      </c>
      <c r="T2" s="31">
        <v>45348</v>
      </c>
      <c r="U2" t="s">
        <v>66</v>
      </c>
      <c r="V2" t="s">
        <v>67</v>
      </c>
      <c r="W2" t="s">
        <v>68</v>
      </c>
      <c r="X2" t="s">
        <v>69</v>
      </c>
      <c r="Y2" t="s">
        <v>70</v>
      </c>
      <c r="Z2" t="s">
        <v>71</v>
      </c>
      <c r="AA2" t="s">
        <v>72</v>
      </c>
      <c r="AC2" t="s">
        <v>73</v>
      </c>
      <c r="AD2">
        <v>93</v>
      </c>
      <c r="AE2">
        <v>0</v>
      </c>
      <c r="AF2" s="31">
        <v>44593</v>
      </c>
      <c r="AG2">
        <v>400000</v>
      </c>
      <c r="AH2" t="s">
        <v>57</v>
      </c>
      <c r="AI2" t="s">
        <v>74</v>
      </c>
      <c r="AJ2" t="s">
        <v>51</v>
      </c>
      <c r="AK2">
        <f>COUNTIF(Fives[Upgraded By],Fives[[#This Row],[Upgraded By]])</f>
        <v>37</v>
      </c>
      <c r="AL2" t="str">
        <f>IF(Fives[[#This Row],[Split Credit]]="",Fives[[#This Row],[Upgraded By]],IF(ISNUMBER(FIND(Fives[[#This Row],[Upgraded By]],Fives[[#This Row],[Split Credit]])),Fives[[#This Row],[Split Credit]],Fives[[#This Row],[Upgraded By]]&amp;"; "&amp;Fives[[#This Row],[Split Credit]]))</f>
        <v>Ben MacShane</v>
      </c>
    </row>
    <row r="3" spans="1:38" x14ac:dyDescent="0.8">
      <c r="A3" t="s">
        <v>75</v>
      </c>
      <c r="B3" t="s">
        <v>76</v>
      </c>
      <c r="C3" t="s">
        <v>77</v>
      </c>
      <c r="D3" t="s">
        <v>78</v>
      </c>
      <c r="E3" t="s">
        <v>79</v>
      </c>
      <c r="G3" t="s">
        <v>64</v>
      </c>
      <c r="H3" s="31">
        <v>45350</v>
      </c>
      <c r="I3" t="s">
        <v>49</v>
      </c>
      <c r="J3" t="s">
        <v>31</v>
      </c>
      <c r="K3" t="s">
        <v>32</v>
      </c>
      <c r="N3" t="s">
        <v>31</v>
      </c>
      <c r="O3" t="s">
        <v>33</v>
      </c>
      <c r="Q3">
        <v>0</v>
      </c>
      <c r="R3" s="31">
        <v>45350</v>
      </c>
      <c r="S3" t="s">
        <v>80</v>
      </c>
      <c r="T3" s="31">
        <v>45350</v>
      </c>
      <c r="U3" t="s">
        <v>81</v>
      </c>
      <c r="V3" t="s">
        <v>82</v>
      </c>
      <c r="W3" t="s">
        <v>83</v>
      </c>
      <c r="X3" t="s">
        <v>84</v>
      </c>
      <c r="Y3" t="s">
        <v>85</v>
      </c>
      <c r="Z3" t="s">
        <v>86</v>
      </c>
      <c r="AC3" t="s">
        <v>87</v>
      </c>
      <c r="AD3">
        <v>109</v>
      </c>
      <c r="AH3" t="s">
        <v>34</v>
      </c>
      <c r="AI3" t="s">
        <v>88</v>
      </c>
      <c r="AJ3" t="s">
        <v>51</v>
      </c>
      <c r="AK3">
        <f>COUNTIF(Fives[Upgraded By],Fives[[#This Row],[Upgraded By]])</f>
        <v>37</v>
      </c>
      <c r="AL3" t="str">
        <f>IF(Fives[[#This Row],[Split Credit]]="",Fives[[#This Row],[Upgraded By]],IF(ISNUMBER(FIND(Fives[[#This Row],[Upgraded By]],Fives[[#This Row],[Split Credit]])),Fives[[#This Row],[Split Credit]],Fives[[#This Row],[Upgraded By]]&amp;"; "&amp;Fives[[#This Row],[Split Credit]]))</f>
        <v>Ben MacShane</v>
      </c>
    </row>
    <row r="4" spans="1:38" x14ac:dyDescent="0.8">
      <c r="A4" t="s">
        <v>89</v>
      </c>
      <c r="B4" t="s">
        <v>90</v>
      </c>
      <c r="C4" t="s">
        <v>91</v>
      </c>
      <c r="D4" t="s">
        <v>92</v>
      </c>
      <c r="E4" t="s">
        <v>64</v>
      </c>
      <c r="G4" t="s">
        <v>163</v>
      </c>
      <c r="H4" s="31">
        <v>45354</v>
      </c>
      <c r="I4" t="s">
        <v>49</v>
      </c>
      <c r="J4" t="s">
        <v>31</v>
      </c>
      <c r="K4" t="s">
        <v>32</v>
      </c>
      <c r="N4" t="s">
        <v>31</v>
      </c>
      <c r="O4" t="s">
        <v>33</v>
      </c>
      <c r="Q4">
        <v>0</v>
      </c>
      <c r="R4" s="31">
        <v>45352</v>
      </c>
      <c r="S4" t="s">
        <v>93</v>
      </c>
      <c r="T4" s="31">
        <v>45352</v>
      </c>
      <c r="U4" t="s">
        <v>94</v>
      </c>
      <c r="V4" t="s">
        <v>95</v>
      </c>
      <c r="W4" t="s">
        <v>96</v>
      </c>
      <c r="X4" t="s">
        <v>97</v>
      </c>
      <c r="Y4" t="s">
        <v>98</v>
      </c>
      <c r="Z4" t="s">
        <v>56</v>
      </c>
      <c r="AC4" t="s">
        <v>99</v>
      </c>
      <c r="AD4">
        <v>59</v>
      </c>
      <c r="AH4" t="s">
        <v>34</v>
      </c>
      <c r="AI4" t="s">
        <v>100</v>
      </c>
      <c r="AJ4" t="s">
        <v>51</v>
      </c>
      <c r="AK4">
        <f>COUNTIF(Fives[Upgraded By],Fives[[#This Row],[Upgraded By]])</f>
        <v>1</v>
      </c>
      <c r="AL4" t="str">
        <f>IF(Fives[[#This Row],[Split Credit]]="",Fives[[#This Row],[Upgraded By]],IF(ISNUMBER(FIND(Fives[[#This Row],[Upgraded By]],Fives[[#This Row],[Split Credit]])),Fives[[#This Row],[Split Credit]],Fives[[#This Row],[Upgraded By]]&amp;"; "&amp;Fives[[#This Row],[Split Credit]]))</f>
        <v>Classic Crew</v>
      </c>
    </row>
    <row r="5" spans="1:38" x14ac:dyDescent="0.8">
      <c r="A5" t="s">
        <v>101</v>
      </c>
      <c r="B5" t="s">
        <v>102</v>
      </c>
      <c r="C5" t="s">
        <v>103</v>
      </c>
      <c r="D5" t="s">
        <v>104</v>
      </c>
      <c r="E5" t="s">
        <v>64</v>
      </c>
      <c r="G5" t="s">
        <v>64</v>
      </c>
      <c r="H5" s="31">
        <v>45354</v>
      </c>
      <c r="I5" t="s">
        <v>55</v>
      </c>
      <c r="J5" t="s">
        <v>31</v>
      </c>
      <c r="K5" t="s">
        <v>32</v>
      </c>
      <c r="N5" t="s">
        <v>31</v>
      </c>
      <c r="O5" t="s">
        <v>33</v>
      </c>
      <c r="Q5">
        <v>0</v>
      </c>
      <c r="R5" s="31">
        <v>45351</v>
      </c>
      <c r="S5" t="s">
        <v>105</v>
      </c>
      <c r="T5" s="31">
        <v>45351</v>
      </c>
      <c r="U5" t="s">
        <v>59</v>
      </c>
      <c r="V5" t="s">
        <v>106</v>
      </c>
      <c r="W5" t="s">
        <v>107</v>
      </c>
      <c r="X5" t="s">
        <v>108</v>
      </c>
      <c r="Y5" t="s">
        <v>109</v>
      </c>
      <c r="Z5" t="s">
        <v>58</v>
      </c>
      <c r="AC5" t="s">
        <v>110</v>
      </c>
      <c r="AD5">
        <v>104</v>
      </c>
      <c r="AH5" t="s">
        <v>34</v>
      </c>
      <c r="AI5" t="s">
        <v>111</v>
      </c>
      <c r="AJ5" t="s">
        <v>51</v>
      </c>
      <c r="AK5">
        <f>COUNTIF(Fives[Upgraded By],Fives[[#This Row],[Upgraded By]])</f>
        <v>37</v>
      </c>
      <c r="AL5" t="str">
        <f>IF(Fives[[#This Row],[Split Credit]]="",Fives[[#This Row],[Upgraded By]],IF(ISNUMBER(FIND(Fives[[#This Row],[Upgraded By]],Fives[[#This Row],[Split Credit]])),Fives[[#This Row],[Split Credit]],Fives[[#This Row],[Upgraded By]]&amp;"; "&amp;Fives[[#This Row],[Split Credit]]))</f>
        <v>Ben MacShane</v>
      </c>
    </row>
    <row r="6" spans="1:38" x14ac:dyDescent="0.8">
      <c r="A6" s="36" t="s">
        <v>60</v>
      </c>
      <c r="B6" s="36" t="s">
        <v>61</v>
      </c>
      <c r="C6" s="36" t="s">
        <v>62</v>
      </c>
      <c r="D6" s="37" t="s">
        <v>114</v>
      </c>
      <c r="E6" s="38" t="s">
        <v>64</v>
      </c>
      <c r="F6" s="36"/>
      <c r="G6" s="36" t="s">
        <v>166</v>
      </c>
      <c r="H6" s="39">
        <v>45348</v>
      </c>
      <c r="I6" s="36" t="s">
        <v>55</v>
      </c>
      <c r="J6" s="36" t="s">
        <v>31</v>
      </c>
      <c r="K6" s="36" t="s">
        <v>32</v>
      </c>
      <c r="L6" s="36"/>
      <c r="M6" s="36"/>
      <c r="N6" s="36" t="s">
        <v>31</v>
      </c>
      <c r="O6" s="36" t="s">
        <v>33</v>
      </c>
      <c r="P6" s="36"/>
      <c r="Q6" s="36">
        <v>0</v>
      </c>
      <c r="R6" s="39">
        <v>45348</v>
      </c>
      <c r="S6" s="36" t="s">
        <v>65</v>
      </c>
      <c r="T6" s="39">
        <v>45348</v>
      </c>
      <c r="U6" s="36" t="s">
        <v>66</v>
      </c>
      <c r="V6" s="40" t="s">
        <v>67</v>
      </c>
      <c r="W6" s="36" t="s">
        <v>68</v>
      </c>
      <c r="X6" s="36" t="s">
        <v>69</v>
      </c>
      <c r="Y6" s="36" t="s">
        <v>70</v>
      </c>
      <c r="Z6" s="36" t="s">
        <v>71</v>
      </c>
      <c r="AA6" s="36" t="s">
        <v>72</v>
      </c>
      <c r="AB6" s="36"/>
      <c r="AC6" s="36" t="s">
        <v>73</v>
      </c>
      <c r="AD6" s="36">
        <v>93</v>
      </c>
      <c r="AE6" s="36">
        <v>0</v>
      </c>
      <c r="AF6" s="39">
        <v>44593</v>
      </c>
      <c r="AG6" s="36">
        <v>400000</v>
      </c>
      <c r="AH6" s="36" t="s">
        <v>57</v>
      </c>
      <c r="AI6" s="36" t="s">
        <v>74</v>
      </c>
      <c r="AJ6" s="36" t="s">
        <v>51</v>
      </c>
      <c r="AK6" s="41">
        <f>COUNTIF(Fives[Upgraded By],Fives[[#This Row],[Upgraded By]])</f>
        <v>1</v>
      </c>
      <c r="AL6" s="41" t="str">
        <f>IF(Fives[[#This Row],[Split Credit]]="",Fives[[#This Row],[Upgraded By]],IF(ISNUMBER(FIND(Fives[[#This Row],[Upgraded By]],Fives[[#This Row],[Split Credit]])),Fives[[#This Row],[Split Credit]],Fives[[#This Row],[Upgraded By]]&amp;"; "&amp;Fives[[#This Row],[Split Credit]]))</f>
        <v>Apples</v>
      </c>
    </row>
    <row r="7" spans="1:38" x14ac:dyDescent="0.8">
      <c r="A7" s="36" t="s">
        <v>75</v>
      </c>
      <c r="B7" s="36" t="s">
        <v>76</v>
      </c>
      <c r="C7" s="36" t="s">
        <v>77</v>
      </c>
      <c r="D7" s="37" t="s">
        <v>115</v>
      </c>
      <c r="E7" s="38" t="s">
        <v>79</v>
      </c>
      <c r="F7" s="36"/>
      <c r="G7" s="36" t="s">
        <v>167</v>
      </c>
      <c r="H7" s="39">
        <v>45350</v>
      </c>
      <c r="I7" s="36" t="s">
        <v>49</v>
      </c>
      <c r="J7" s="36" t="s">
        <v>31</v>
      </c>
      <c r="K7" s="36" t="s">
        <v>32</v>
      </c>
      <c r="L7" s="36"/>
      <c r="M7" s="36"/>
      <c r="N7" s="36" t="s">
        <v>31</v>
      </c>
      <c r="O7" s="36" t="s">
        <v>33</v>
      </c>
      <c r="P7" s="36"/>
      <c r="Q7" s="36">
        <v>0</v>
      </c>
      <c r="R7" s="39">
        <v>45350</v>
      </c>
      <c r="S7" s="36" t="s">
        <v>80</v>
      </c>
      <c r="T7" s="39">
        <v>45350</v>
      </c>
      <c r="U7" s="36" t="s">
        <v>81</v>
      </c>
      <c r="V7" s="40" t="s">
        <v>82</v>
      </c>
      <c r="W7" s="36" t="s">
        <v>83</v>
      </c>
      <c r="X7" s="36" t="s">
        <v>84</v>
      </c>
      <c r="Y7" s="36" t="s">
        <v>85</v>
      </c>
      <c r="Z7" s="36" t="s">
        <v>86</v>
      </c>
      <c r="AA7" s="36"/>
      <c r="AB7" s="36"/>
      <c r="AC7" s="36" t="s">
        <v>87</v>
      </c>
      <c r="AD7" s="36">
        <v>109</v>
      </c>
      <c r="AE7" s="36"/>
      <c r="AF7" s="39"/>
      <c r="AG7" s="36"/>
      <c r="AH7" s="36" t="s">
        <v>34</v>
      </c>
      <c r="AI7" s="36" t="s">
        <v>88</v>
      </c>
      <c r="AJ7" s="36" t="s">
        <v>51</v>
      </c>
      <c r="AK7" s="41">
        <f>COUNTIF(Fives[Upgraded By],Fives[[#This Row],[Upgraded By]])</f>
        <v>1</v>
      </c>
      <c r="AL7" s="41" t="str">
        <f>IF(Fives[[#This Row],[Split Credit]]="",Fives[[#This Row],[Upgraded By]],IF(ISNUMBER(FIND(Fives[[#This Row],[Upgraded By]],Fives[[#This Row],[Split Credit]])),Fives[[#This Row],[Split Credit]],Fives[[#This Row],[Upgraded By]]&amp;"; "&amp;Fives[[#This Row],[Split Credit]]))</f>
        <v>Bananas</v>
      </c>
    </row>
    <row r="8" spans="1:38" x14ac:dyDescent="0.8">
      <c r="A8" s="36" t="s">
        <v>89</v>
      </c>
      <c r="B8" s="36" t="s">
        <v>90</v>
      </c>
      <c r="C8" s="36" t="s">
        <v>91</v>
      </c>
      <c r="D8" s="37" t="s">
        <v>116</v>
      </c>
      <c r="E8" s="38" t="s">
        <v>64</v>
      </c>
      <c r="F8" s="36"/>
      <c r="G8" s="36" t="s">
        <v>64</v>
      </c>
      <c r="H8" s="39">
        <v>45354</v>
      </c>
      <c r="I8" s="36" t="s">
        <v>49</v>
      </c>
      <c r="J8" s="36" t="s">
        <v>31</v>
      </c>
      <c r="K8" s="36" t="s">
        <v>32</v>
      </c>
      <c r="L8" s="36"/>
      <c r="M8" s="36"/>
      <c r="N8" s="36" t="s">
        <v>31</v>
      </c>
      <c r="O8" s="36" t="s">
        <v>33</v>
      </c>
      <c r="P8" s="36"/>
      <c r="Q8" s="36">
        <v>0</v>
      </c>
      <c r="R8" s="39">
        <v>45352</v>
      </c>
      <c r="S8" s="36" t="s">
        <v>93</v>
      </c>
      <c r="T8" s="39">
        <v>45352</v>
      </c>
      <c r="U8" s="36" t="s">
        <v>94</v>
      </c>
      <c r="V8" s="40" t="s">
        <v>95</v>
      </c>
      <c r="W8" s="36" t="s">
        <v>96</v>
      </c>
      <c r="X8" s="36" t="s">
        <v>97</v>
      </c>
      <c r="Y8" s="36" t="s">
        <v>98</v>
      </c>
      <c r="Z8" s="36" t="s">
        <v>56</v>
      </c>
      <c r="AA8" s="36"/>
      <c r="AB8" s="36"/>
      <c r="AC8" s="36" t="s">
        <v>99</v>
      </c>
      <c r="AD8" s="36">
        <v>59</v>
      </c>
      <c r="AE8" s="36"/>
      <c r="AF8" s="39"/>
      <c r="AG8" s="36"/>
      <c r="AH8" s="36" t="s">
        <v>34</v>
      </c>
      <c r="AI8" s="36" t="s">
        <v>100</v>
      </c>
      <c r="AJ8" s="36" t="s">
        <v>51</v>
      </c>
      <c r="AK8" s="41">
        <f>COUNTIF(Fives[Upgraded By],Fives[[#This Row],[Upgraded By]])</f>
        <v>37</v>
      </c>
      <c r="AL8" s="41" t="str">
        <f>IF(Fives[[#This Row],[Split Credit]]="",Fives[[#This Row],[Upgraded By]],IF(ISNUMBER(FIND(Fives[[#This Row],[Upgraded By]],Fives[[#This Row],[Split Credit]])),Fives[[#This Row],[Split Credit]],Fives[[#This Row],[Upgraded By]]&amp;"; "&amp;Fives[[#This Row],[Split Credit]]))</f>
        <v>Ben MacShane</v>
      </c>
    </row>
    <row r="9" spans="1:38" x14ac:dyDescent="0.8">
      <c r="A9" s="42" t="s">
        <v>101</v>
      </c>
      <c r="B9" s="42" t="s">
        <v>102</v>
      </c>
      <c r="C9" s="42" t="s">
        <v>103</v>
      </c>
      <c r="D9" s="43" t="s">
        <v>117</v>
      </c>
      <c r="E9" s="44" t="s">
        <v>64</v>
      </c>
      <c r="F9" s="42"/>
      <c r="G9" s="42" t="s">
        <v>64</v>
      </c>
      <c r="H9" s="45">
        <v>45354</v>
      </c>
      <c r="I9" s="42" t="s">
        <v>55</v>
      </c>
      <c r="J9" s="42" t="s">
        <v>31</v>
      </c>
      <c r="K9" s="42" t="s">
        <v>32</v>
      </c>
      <c r="L9" s="42"/>
      <c r="M9" s="42"/>
      <c r="N9" s="42" t="s">
        <v>31</v>
      </c>
      <c r="O9" s="42" t="s">
        <v>33</v>
      </c>
      <c r="P9" s="42"/>
      <c r="Q9" s="42">
        <v>0</v>
      </c>
      <c r="R9" s="45">
        <v>45351</v>
      </c>
      <c r="S9" s="42" t="s">
        <v>105</v>
      </c>
      <c r="T9" s="45">
        <v>45351</v>
      </c>
      <c r="U9" s="42" t="s">
        <v>59</v>
      </c>
      <c r="V9" s="46" t="s">
        <v>106</v>
      </c>
      <c r="W9" s="42" t="s">
        <v>107</v>
      </c>
      <c r="X9" s="42" t="s">
        <v>108</v>
      </c>
      <c r="Y9" s="42" t="s">
        <v>109</v>
      </c>
      <c r="Z9" s="42" t="s">
        <v>58</v>
      </c>
      <c r="AA9" s="42"/>
      <c r="AB9" s="42"/>
      <c r="AC9" s="42" t="s">
        <v>110</v>
      </c>
      <c r="AD9" s="42">
        <v>104</v>
      </c>
      <c r="AE9" s="42"/>
      <c r="AF9" s="45"/>
      <c r="AG9" s="42"/>
      <c r="AH9" s="42" t="s">
        <v>34</v>
      </c>
      <c r="AI9" s="42" t="s">
        <v>111</v>
      </c>
      <c r="AJ9" s="42" t="s">
        <v>51</v>
      </c>
      <c r="AK9" s="47">
        <f>COUNTIF(Fives[Upgraded By],Fives[[#This Row],[Upgraded By]])</f>
        <v>37</v>
      </c>
      <c r="AL9" s="47" t="str">
        <f>IF(Fives[[#This Row],[Split Credit]]="",Fives[[#This Row],[Upgraded By]],IF(ISNUMBER(FIND(Fives[[#This Row],[Upgraded By]],Fives[[#This Row],[Split Credit]])),Fives[[#This Row],[Split Credit]],Fives[[#This Row],[Upgraded By]]&amp;"; "&amp;Fives[[#This Row],[Split Credit]]))</f>
        <v>Ben MacShane</v>
      </c>
    </row>
    <row r="10" spans="1:38" x14ac:dyDescent="0.8">
      <c r="A10" s="36" t="s">
        <v>60</v>
      </c>
      <c r="B10" s="36" t="s">
        <v>61</v>
      </c>
      <c r="C10" s="36" t="s">
        <v>62</v>
      </c>
      <c r="D10" s="37" t="s">
        <v>118</v>
      </c>
      <c r="E10" s="38" t="s">
        <v>64</v>
      </c>
      <c r="F10" s="36"/>
      <c r="G10" s="36" t="s">
        <v>164</v>
      </c>
      <c r="H10" s="39">
        <v>45348</v>
      </c>
      <c r="I10" s="36" t="s">
        <v>55</v>
      </c>
      <c r="J10" s="36" t="s">
        <v>31</v>
      </c>
      <c r="K10" s="36" t="s">
        <v>32</v>
      </c>
      <c r="L10" s="36"/>
      <c r="M10" s="36"/>
      <c r="N10" s="36" t="s">
        <v>31</v>
      </c>
      <c r="O10" s="36" t="s">
        <v>33</v>
      </c>
      <c r="P10" s="36"/>
      <c r="Q10" s="36">
        <v>0</v>
      </c>
      <c r="R10" s="39">
        <v>45348</v>
      </c>
      <c r="S10" s="36" t="s">
        <v>65</v>
      </c>
      <c r="T10" s="39">
        <v>45348</v>
      </c>
      <c r="U10" s="36" t="s">
        <v>66</v>
      </c>
      <c r="V10" s="40" t="s">
        <v>67</v>
      </c>
      <c r="W10" s="36" t="s">
        <v>68</v>
      </c>
      <c r="X10" s="36" t="s">
        <v>69</v>
      </c>
      <c r="Y10" s="36" t="s">
        <v>70</v>
      </c>
      <c r="Z10" s="36" t="s">
        <v>71</v>
      </c>
      <c r="AA10" s="36" t="s">
        <v>72</v>
      </c>
      <c r="AB10" s="36"/>
      <c r="AC10" s="36" t="s">
        <v>73</v>
      </c>
      <c r="AD10" s="36">
        <v>93</v>
      </c>
      <c r="AE10" s="36">
        <v>0</v>
      </c>
      <c r="AF10" s="39">
        <v>44593</v>
      </c>
      <c r="AG10" s="36">
        <v>400000</v>
      </c>
      <c r="AH10" s="36" t="s">
        <v>57</v>
      </c>
      <c r="AI10" s="36" t="s">
        <v>74</v>
      </c>
      <c r="AJ10" s="36" t="s">
        <v>51</v>
      </c>
      <c r="AK10" s="41">
        <f>COUNTIF(Fives[Upgraded By],Fives[[#This Row],[Upgraded By]])</f>
        <v>1</v>
      </c>
      <c r="AL10" s="41" t="str">
        <f>IF(Fives[[#This Row],[Split Credit]]="",Fives[[#This Row],[Upgraded By]],IF(ISNUMBER(FIND(Fives[[#This Row],[Upgraded By]],Fives[[#This Row],[Split Credit]])),Fives[[#This Row],[Split Credit]],Fives[[#This Row],[Upgraded By]]&amp;"; "&amp;Fives[[#This Row],[Split Credit]]))</f>
        <v>Yell Out For Me!</v>
      </c>
    </row>
    <row r="11" spans="1:38" x14ac:dyDescent="0.8">
      <c r="A11" s="36" t="s">
        <v>75</v>
      </c>
      <c r="B11" s="36" t="s">
        <v>76</v>
      </c>
      <c r="C11" s="36" t="s">
        <v>77</v>
      </c>
      <c r="D11" s="37" t="s">
        <v>119</v>
      </c>
      <c r="E11" s="38" t="s">
        <v>79</v>
      </c>
      <c r="F11" s="36"/>
      <c r="G11" s="36" t="s">
        <v>165</v>
      </c>
      <c r="H11" s="39">
        <v>45350</v>
      </c>
      <c r="I11" s="36" t="s">
        <v>49</v>
      </c>
      <c r="J11" s="36" t="s">
        <v>31</v>
      </c>
      <c r="K11" s="36" t="s">
        <v>32</v>
      </c>
      <c r="L11" s="36"/>
      <c r="M11" s="36"/>
      <c r="N11" s="36" t="s">
        <v>31</v>
      </c>
      <c r="O11" s="36" t="s">
        <v>33</v>
      </c>
      <c r="P11" s="36"/>
      <c r="Q11" s="36">
        <v>0</v>
      </c>
      <c r="R11" s="39">
        <v>45350</v>
      </c>
      <c r="S11" s="36" t="s">
        <v>80</v>
      </c>
      <c r="T11" s="39">
        <v>45350</v>
      </c>
      <c r="U11" s="36" t="s">
        <v>81</v>
      </c>
      <c r="V11" s="40" t="s">
        <v>82</v>
      </c>
      <c r="W11" s="36" t="s">
        <v>83</v>
      </c>
      <c r="X11" s="36" t="s">
        <v>84</v>
      </c>
      <c r="Y11" s="36" t="s">
        <v>85</v>
      </c>
      <c r="Z11" s="36" t="s">
        <v>86</v>
      </c>
      <c r="AA11" s="36"/>
      <c r="AB11" s="36"/>
      <c r="AC11" s="36" t="s">
        <v>87</v>
      </c>
      <c r="AD11" s="36">
        <v>109</v>
      </c>
      <c r="AE11" s="36"/>
      <c r="AF11" s="39"/>
      <c r="AG11" s="36"/>
      <c r="AH11" s="36" t="s">
        <v>34</v>
      </c>
      <c r="AI11" s="36" t="s">
        <v>88</v>
      </c>
      <c r="AJ11" s="36" t="s">
        <v>51</v>
      </c>
      <c r="AK11" s="41">
        <f>COUNTIF(Fives[Upgraded By],Fives[[#This Row],[Upgraded By]])</f>
        <v>1</v>
      </c>
      <c r="AL11" s="41" t="str">
        <f>IF(Fives[[#This Row],[Split Credit]]="",Fives[[#This Row],[Upgraded By]],IF(ISNUMBER(FIND(Fives[[#This Row],[Upgraded By]],Fives[[#This Row],[Split Credit]])),Fives[[#This Row],[Split Credit]],Fives[[#This Row],[Upgraded By]]&amp;"; "&amp;Fives[[#This Row],[Split Credit]]))</f>
        <v>Blend in Ben</v>
      </c>
    </row>
    <row r="12" spans="1:38" x14ac:dyDescent="0.8">
      <c r="A12" s="36" t="s">
        <v>89</v>
      </c>
      <c r="B12" s="36" t="s">
        <v>90</v>
      </c>
      <c r="C12" s="36" t="s">
        <v>91</v>
      </c>
      <c r="D12" s="37" t="s">
        <v>120</v>
      </c>
      <c r="E12" s="38" t="s">
        <v>64</v>
      </c>
      <c r="F12" s="36"/>
      <c r="G12" s="36" t="s">
        <v>64</v>
      </c>
      <c r="H12" s="39">
        <v>45354</v>
      </c>
      <c r="I12" s="36" t="s">
        <v>49</v>
      </c>
      <c r="J12" s="36" t="s">
        <v>31</v>
      </c>
      <c r="K12" s="36" t="s">
        <v>32</v>
      </c>
      <c r="L12" s="36"/>
      <c r="M12" s="36"/>
      <c r="N12" s="36" t="s">
        <v>31</v>
      </c>
      <c r="O12" s="36" t="s">
        <v>33</v>
      </c>
      <c r="P12" s="36"/>
      <c r="Q12" s="36">
        <v>0</v>
      </c>
      <c r="R12" s="39">
        <v>45352</v>
      </c>
      <c r="S12" s="36" t="s">
        <v>93</v>
      </c>
      <c r="T12" s="39">
        <v>45352</v>
      </c>
      <c r="U12" s="36" t="s">
        <v>94</v>
      </c>
      <c r="V12" s="40" t="s">
        <v>95</v>
      </c>
      <c r="W12" s="36" t="s">
        <v>96</v>
      </c>
      <c r="X12" s="36" t="s">
        <v>97</v>
      </c>
      <c r="Y12" s="36" t="s">
        <v>98</v>
      </c>
      <c r="Z12" s="36" t="s">
        <v>56</v>
      </c>
      <c r="AA12" s="36"/>
      <c r="AB12" s="36"/>
      <c r="AC12" s="36" t="s">
        <v>99</v>
      </c>
      <c r="AD12" s="36">
        <v>59</v>
      </c>
      <c r="AE12" s="36"/>
      <c r="AF12" s="39"/>
      <c r="AG12" s="36"/>
      <c r="AH12" s="36" t="s">
        <v>34</v>
      </c>
      <c r="AI12" s="36" t="s">
        <v>100</v>
      </c>
      <c r="AJ12" s="36" t="s">
        <v>51</v>
      </c>
      <c r="AK12" s="41">
        <f>COUNTIF(Fives[Upgraded By],Fives[[#This Row],[Upgraded By]])</f>
        <v>37</v>
      </c>
      <c r="AL12" s="41" t="str">
        <f>IF(Fives[[#This Row],[Split Credit]]="",Fives[[#This Row],[Upgraded By]],IF(ISNUMBER(FIND(Fives[[#This Row],[Upgraded By]],Fives[[#This Row],[Split Credit]])),Fives[[#This Row],[Split Credit]],Fives[[#This Row],[Upgraded By]]&amp;"; "&amp;Fives[[#This Row],[Split Credit]]))</f>
        <v>Ben MacShane</v>
      </c>
    </row>
    <row r="13" spans="1:38" x14ac:dyDescent="0.8">
      <c r="A13" s="42" t="s">
        <v>101</v>
      </c>
      <c r="B13" s="42" t="s">
        <v>102</v>
      </c>
      <c r="C13" s="42" t="s">
        <v>103</v>
      </c>
      <c r="D13" s="43" t="s">
        <v>121</v>
      </c>
      <c r="E13" s="44" t="s">
        <v>64</v>
      </c>
      <c r="F13" s="42"/>
      <c r="G13" s="42" t="s">
        <v>64</v>
      </c>
      <c r="H13" s="45">
        <v>45354</v>
      </c>
      <c r="I13" s="42" t="s">
        <v>55</v>
      </c>
      <c r="J13" s="42" t="s">
        <v>31</v>
      </c>
      <c r="K13" s="42" t="s">
        <v>32</v>
      </c>
      <c r="L13" s="42"/>
      <c r="M13" s="42"/>
      <c r="N13" s="42" t="s">
        <v>31</v>
      </c>
      <c r="O13" s="42" t="s">
        <v>33</v>
      </c>
      <c r="P13" s="42"/>
      <c r="Q13" s="42">
        <v>0</v>
      </c>
      <c r="R13" s="45">
        <v>45351</v>
      </c>
      <c r="S13" s="42" t="s">
        <v>105</v>
      </c>
      <c r="T13" s="45">
        <v>45351</v>
      </c>
      <c r="U13" s="42" t="s">
        <v>59</v>
      </c>
      <c r="V13" s="46" t="s">
        <v>106</v>
      </c>
      <c r="W13" s="42" t="s">
        <v>107</v>
      </c>
      <c r="X13" s="42" t="s">
        <v>108</v>
      </c>
      <c r="Y13" s="42" t="s">
        <v>109</v>
      </c>
      <c r="Z13" s="42" t="s">
        <v>58</v>
      </c>
      <c r="AA13" s="42"/>
      <c r="AB13" s="42"/>
      <c r="AC13" s="42" t="s">
        <v>110</v>
      </c>
      <c r="AD13" s="42">
        <v>104</v>
      </c>
      <c r="AE13" s="42"/>
      <c r="AF13" s="45"/>
      <c r="AG13" s="42"/>
      <c r="AH13" s="42" t="s">
        <v>34</v>
      </c>
      <c r="AI13" s="42" t="s">
        <v>111</v>
      </c>
      <c r="AJ13" s="42" t="s">
        <v>51</v>
      </c>
      <c r="AK13" s="47">
        <f>COUNTIF(Fives[Upgraded By],Fives[[#This Row],[Upgraded By]])</f>
        <v>37</v>
      </c>
      <c r="AL13" s="47" t="str">
        <f>IF(Fives[[#This Row],[Split Credit]]="",Fives[[#This Row],[Upgraded By]],IF(ISNUMBER(FIND(Fives[[#This Row],[Upgraded By]],Fives[[#This Row],[Split Credit]])),Fives[[#This Row],[Split Credit]],Fives[[#This Row],[Upgraded By]]&amp;"; "&amp;Fives[[#This Row],[Split Credit]]))</f>
        <v>Ben MacShane</v>
      </c>
    </row>
    <row r="14" spans="1:38" x14ac:dyDescent="0.8">
      <c r="A14" s="36" t="s">
        <v>60</v>
      </c>
      <c r="B14" s="36" t="s">
        <v>61</v>
      </c>
      <c r="C14" s="36" t="s">
        <v>62</v>
      </c>
      <c r="D14" s="37" t="s">
        <v>122</v>
      </c>
      <c r="E14" s="38" t="s">
        <v>64</v>
      </c>
      <c r="F14" s="36"/>
      <c r="G14" s="36" t="s">
        <v>168</v>
      </c>
      <c r="H14" s="39">
        <v>45348</v>
      </c>
      <c r="I14" s="36" t="s">
        <v>55</v>
      </c>
      <c r="J14" s="36" t="s">
        <v>31</v>
      </c>
      <c r="K14" s="36" t="s">
        <v>32</v>
      </c>
      <c r="L14" s="36"/>
      <c r="M14" s="36"/>
      <c r="N14" s="36" t="s">
        <v>31</v>
      </c>
      <c r="O14" s="36" t="s">
        <v>33</v>
      </c>
      <c r="P14" s="36"/>
      <c r="Q14" s="36">
        <v>0</v>
      </c>
      <c r="R14" s="39">
        <v>45348</v>
      </c>
      <c r="S14" s="36" t="s">
        <v>65</v>
      </c>
      <c r="T14" s="39">
        <v>45348</v>
      </c>
      <c r="U14" s="36" t="s">
        <v>66</v>
      </c>
      <c r="V14" s="40" t="s">
        <v>67</v>
      </c>
      <c r="W14" s="36" t="s">
        <v>68</v>
      </c>
      <c r="X14" s="36" t="s">
        <v>69</v>
      </c>
      <c r="Y14" s="36" t="s">
        <v>70</v>
      </c>
      <c r="Z14" s="36" t="s">
        <v>71</v>
      </c>
      <c r="AA14" s="36" t="s">
        <v>72</v>
      </c>
      <c r="AB14" s="36"/>
      <c r="AC14" s="36" t="s">
        <v>73</v>
      </c>
      <c r="AD14" s="36">
        <v>93</v>
      </c>
      <c r="AE14" s="36">
        <v>0</v>
      </c>
      <c r="AF14" s="39">
        <v>44593</v>
      </c>
      <c r="AG14" s="36">
        <v>400000</v>
      </c>
      <c r="AH14" s="36" t="s">
        <v>57</v>
      </c>
      <c r="AI14" s="36" t="s">
        <v>74</v>
      </c>
      <c r="AJ14" s="36" t="s">
        <v>51</v>
      </c>
      <c r="AK14" s="41">
        <f>COUNTIF(Fives[Upgraded By],Fives[[#This Row],[Upgraded By]])</f>
        <v>1</v>
      </c>
      <c r="AL14" s="41" t="str">
        <f>IF(Fives[[#This Row],[Split Credit]]="",Fives[[#This Row],[Upgraded By]],IF(ISNUMBER(FIND(Fives[[#This Row],[Upgraded By]],Fives[[#This Row],[Split Credit]])),Fives[[#This Row],[Split Credit]],Fives[[#This Row],[Upgraded By]]&amp;"; "&amp;Fives[[#This Row],[Split Credit]]))</f>
        <v>Rhinoceros Rex</v>
      </c>
    </row>
    <row r="15" spans="1:38" x14ac:dyDescent="0.8">
      <c r="A15" s="36" t="s">
        <v>75</v>
      </c>
      <c r="B15" s="36" t="s">
        <v>76</v>
      </c>
      <c r="C15" s="36" t="s">
        <v>77</v>
      </c>
      <c r="D15" s="37" t="s">
        <v>124</v>
      </c>
      <c r="E15" s="38" t="s">
        <v>79</v>
      </c>
      <c r="F15" s="36"/>
      <c r="G15" s="36" t="s">
        <v>161</v>
      </c>
      <c r="H15" s="39">
        <v>45350</v>
      </c>
      <c r="I15" s="36" t="s">
        <v>49</v>
      </c>
      <c r="J15" s="36" t="s">
        <v>31</v>
      </c>
      <c r="K15" s="36" t="s">
        <v>32</v>
      </c>
      <c r="L15" s="36"/>
      <c r="M15" s="36"/>
      <c r="N15" s="36" t="s">
        <v>31</v>
      </c>
      <c r="O15" s="36" t="s">
        <v>33</v>
      </c>
      <c r="P15" s="36"/>
      <c r="Q15" s="36">
        <v>0</v>
      </c>
      <c r="R15" s="39">
        <v>45350</v>
      </c>
      <c r="S15" s="36" t="s">
        <v>80</v>
      </c>
      <c r="T15" s="39">
        <v>45350</v>
      </c>
      <c r="U15" s="36" t="s">
        <v>81</v>
      </c>
      <c r="V15" s="40" t="s">
        <v>82</v>
      </c>
      <c r="W15" s="36" t="s">
        <v>83</v>
      </c>
      <c r="X15" s="36" t="s">
        <v>84</v>
      </c>
      <c r="Y15" s="36" t="s">
        <v>85</v>
      </c>
      <c r="Z15" s="36" t="s">
        <v>86</v>
      </c>
      <c r="AA15" s="36"/>
      <c r="AB15" s="36"/>
      <c r="AC15" s="36" t="s">
        <v>87</v>
      </c>
      <c r="AD15" s="36">
        <v>109</v>
      </c>
      <c r="AE15" s="36"/>
      <c r="AF15" s="39"/>
      <c r="AG15" s="36"/>
      <c r="AH15" s="36" t="s">
        <v>34</v>
      </c>
      <c r="AI15" s="36" t="s">
        <v>88</v>
      </c>
      <c r="AJ15" s="36" t="s">
        <v>51</v>
      </c>
      <c r="AK15" s="41">
        <f>COUNTIF(Fives[Upgraded By],Fives[[#This Row],[Upgraded By]])</f>
        <v>1</v>
      </c>
      <c r="AL15" s="41" t="str">
        <f>IF(Fives[[#This Row],[Split Credit]]="",Fives[[#This Row],[Upgraded By]],IF(ISNUMBER(FIND(Fives[[#This Row],[Upgraded By]],Fives[[#This Row],[Split Credit]])),Fives[[#This Row],[Split Credit]],Fives[[#This Row],[Upgraded By]]&amp;"; "&amp;Fives[[#This Row],[Split Credit]]))</f>
        <v>Lemon Levowitz</v>
      </c>
    </row>
    <row r="16" spans="1:38" x14ac:dyDescent="0.8">
      <c r="A16" s="36" t="s">
        <v>89</v>
      </c>
      <c r="B16" s="36" t="s">
        <v>90</v>
      </c>
      <c r="C16" s="36" t="s">
        <v>91</v>
      </c>
      <c r="D16" s="37" t="s">
        <v>125</v>
      </c>
      <c r="E16" s="38" t="s">
        <v>64</v>
      </c>
      <c r="F16" s="36"/>
      <c r="G16" s="36" t="s">
        <v>64</v>
      </c>
      <c r="H16" s="39">
        <v>45354</v>
      </c>
      <c r="I16" s="36" t="s">
        <v>49</v>
      </c>
      <c r="J16" s="36" t="s">
        <v>31</v>
      </c>
      <c r="K16" s="36" t="s">
        <v>32</v>
      </c>
      <c r="L16" s="36"/>
      <c r="M16" s="36"/>
      <c r="N16" s="36" t="s">
        <v>31</v>
      </c>
      <c r="O16" s="36" t="s">
        <v>33</v>
      </c>
      <c r="P16" s="36"/>
      <c r="Q16" s="36">
        <v>0</v>
      </c>
      <c r="R16" s="39">
        <v>45352</v>
      </c>
      <c r="S16" s="36" t="s">
        <v>93</v>
      </c>
      <c r="T16" s="39">
        <v>45352</v>
      </c>
      <c r="U16" s="36" t="s">
        <v>94</v>
      </c>
      <c r="V16" s="40" t="s">
        <v>95</v>
      </c>
      <c r="W16" s="36" t="s">
        <v>96</v>
      </c>
      <c r="X16" s="36" t="s">
        <v>97</v>
      </c>
      <c r="Y16" s="36" t="s">
        <v>98</v>
      </c>
      <c r="Z16" s="36" t="s">
        <v>56</v>
      </c>
      <c r="AA16" s="36"/>
      <c r="AB16" s="36"/>
      <c r="AC16" s="36" t="s">
        <v>99</v>
      </c>
      <c r="AD16" s="36">
        <v>59</v>
      </c>
      <c r="AE16" s="36"/>
      <c r="AF16" s="39"/>
      <c r="AG16" s="36"/>
      <c r="AH16" s="36" t="s">
        <v>34</v>
      </c>
      <c r="AI16" s="36" t="s">
        <v>100</v>
      </c>
      <c r="AJ16" s="36" t="s">
        <v>51</v>
      </c>
      <c r="AK16" s="41">
        <f>COUNTIF(Fives[Upgraded By],Fives[[#This Row],[Upgraded By]])</f>
        <v>37</v>
      </c>
      <c r="AL16" s="41" t="str">
        <f>IF(Fives[[#This Row],[Split Credit]]="",Fives[[#This Row],[Upgraded By]],IF(ISNUMBER(FIND(Fives[[#This Row],[Upgraded By]],Fives[[#This Row],[Split Credit]])),Fives[[#This Row],[Split Credit]],Fives[[#This Row],[Upgraded By]]&amp;"; "&amp;Fives[[#This Row],[Split Credit]]))</f>
        <v>Ben MacShane</v>
      </c>
    </row>
    <row r="17" spans="1:38" x14ac:dyDescent="0.8">
      <c r="A17" s="42" t="s">
        <v>101</v>
      </c>
      <c r="B17" s="42" t="s">
        <v>102</v>
      </c>
      <c r="C17" s="42" t="s">
        <v>103</v>
      </c>
      <c r="D17" s="43" t="s">
        <v>126</v>
      </c>
      <c r="E17" s="44" t="s">
        <v>64</v>
      </c>
      <c r="F17" s="42"/>
      <c r="G17" s="42" t="s">
        <v>64</v>
      </c>
      <c r="H17" s="45">
        <v>45354</v>
      </c>
      <c r="I17" s="42" t="s">
        <v>55</v>
      </c>
      <c r="J17" s="42" t="s">
        <v>31</v>
      </c>
      <c r="K17" s="42" t="s">
        <v>32</v>
      </c>
      <c r="L17" s="42"/>
      <c r="M17" s="42"/>
      <c r="N17" s="42" t="s">
        <v>31</v>
      </c>
      <c r="O17" s="42" t="s">
        <v>33</v>
      </c>
      <c r="P17" s="42"/>
      <c r="Q17" s="42">
        <v>0</v>
      </c>
      <c r="R17" s="45">
        <v>45351</v>
      </c>
      <c r="S17" s="42" t="s">
        <v>105</v>
      </c>
      <c r="T17" s="45">
        <v>45351</v>
      </c>
      <c r="U17" s="42" t="s">
        <v>59</v>
      </c>
      <c r="V17" s="46" t="s">
        <v>106</v>
      </c>
      <c r="W17" s="42" t="s">
        <v>107</v>
      </c>
      <c r="X17" s="42" t="s">
        <v>108</v>
      </c>
      <c r="Y17" s="42" t="s">
        <v>109</v>
      </c>
      <c r="Z17" s="42" t="s">
        <v>58</v>
      </c>
      <c r="AA17" s="42"/>
      <c r="AB17" s="42"/>
      <c r="AC17" s="42" t="s">
        <v>110</v>
      </c>
      <c r="AD17" s="42">
        <v>104</v>
      </c>
      <c r="AE17" s="42"/>
      <c r="AF17" s="45"/>
      <c r="AG17" s="42"/>
      <c r="AH17" s="42" t="s">
        <v>34</v>
      </c>
      <c r="AI17" s="42" t="s">
        <v>111</v>
      </c>
      <c r="AJ17" s="42" t="s">
        <v>51</v>
      </c>
      <c r="AK17" s="47">
        <f>COUNTIF(Fives[Upgraded By],Fives[[#This Row],[Upgraded By]])</f>
        <v>37</v>
      </c>
      <c r="AL17" s="47" t="str">
        <f>IF(Fives[[#This Row],[Split Credit]]="",Fives[[#This Row],[Upgraded By]],IF(ISNUMBER(FIND(Fives[[#This Row],[Upgraded By]],Fives[[#This Row],[Split Credit]])),Fives[[#This Row],[Split Credit]],Fives[[#This Row],[Upgraded By]]&amp;"; "&amp;Fives[[#This Row],[Split Credit]]))</f>
        <v>Ben MacShane</v>
      </c>
    </row>
    <row r="18" spans="1:38" x14ac:dyDescent="0.8">
      <c r="A18" s="36" t="s">
        <v>60</v>
      </c>
      <c r="B18" s="36" t="s">
        <v>61</v>
      </c>
      <c r="C18" s="36" t="s">
        <v>62</v>
      </c>
      <c r="D18" s="37" t="s">
        <v>127</v>
      </c>
      <c r="E18" s="38" t="s">
        <v>64</v>
      </c>
      <c r="F18" s="36"/>
      <c r="G18" s="36" t="s">
        <v>64</v>
      </c>
      <c r="H18" s="39">
        <v>45348</v>
      </c>
      <c r="I18" s="36" t="s">
        <v>55</v>
      </c>
      <c r="J18" s="36" t="s">
        <v>31</v>
      </c>
      <c r="K18" s="36" t="s">
        <v>32</v>
      </c>
      <c r="L18" s="36"/>
      <c r="M18" s="36"/>
      <c r="N18" s="36" t="s">
        <v>31</v>
      </c>
      <c r="O18" s="36" t="s">
        <v>33</v>
      </c>
      <c r="P18" s="36"/>
      <c r="Q18" s="36">
        <v>0</v>
      </c>
      <c r="R18" s="39">
        <v>45348</v>
      </c>
      <c r="S18" s="36" t="s">
        <v>65</v>
      </c>
      <c r="T18" s="39">
        <v>45348</v>
      </c>
      <c r="U18" s="36" t="s">
        <v>66</v>
      </c>
      <c r="V18" s="40" t="s">
        <v>67</v>
      </c>
      <c r="W18" s="36" t="s">
        <v>68</v>
      </c>
      <c r="X18" s="36" t="s">
        <v>69</v>
      </c>
      <c r="Y18" s="36" t="s">
        <v>70</v>
      </c>
      <c r="Z18" s="36" t="s">
        <v>71</v>
      </c>
      <c r="AA18" s="36" t="s">
        <v>72</v>
      </c>
      <c r="AB18" s="36"/>
      <c r="AC18" s="36" t="s">
        <v>73</v>
      </c>
      <c r="AD18" s="36">
        <v>93</v>
      </c>
      <c r="AE18" s="36">
        <v>0</v>
      </c>
      <c r="AF18" s="39">
        <v>44593</v>
      </c>
      <c r="AG18" s="36">
        <v>400000</v>
      </c>
      <c r="AH18" s="36" t="s">
        <v>57</v>
      </c>
      <c r="AI18" s="36" t="s">
        <v>74</v>
      </c>
      <c r="AJ18" s="36" t="s">
        <v>51</v>
      </c>
      <c r="AK18" s="41">
        <f>COUNTIF(Fives[Upgraded By],Fives[[#This Row],[Upgraded By]])</f>
        <v>37</v>
      </c>
      <c r="AL18" s="41" t="str">
        <f>IF(Fives[[#This Row],[Split Credit]]="",Fives[[#This Row],[Upgraded By]],IF(ISNUMBER(FIND(Fives[[#This Row],[Upgraded By]],Fives[[#This Row],[Split Credit]])),Fives[[#This Row],[Split Credit]],Fives[[#This Row],[Upgraded By]]&amp;"; "&amp;Fives[[#This Row],[Split Credit]]))</f>
        <v>Ben MacShane</v>
      </c>
    </row>
    <row r="19" spans="1:38" x14ac:dyDescent="0.8">
      <c r="A19" s="36" t="s">
        <v>75</v>
      </c>
      <c r="B19" s="36" t="s">
        <v>76</v>
      </c>
      <c r="C19" s="36" t="s">
        <v>77</v>
      </c>
      <c r="D19" s="37" t="s">
        <v>123</v>
      </c>
      <c r="E19" s="38" t="s">
        <v>79</v>
      </c>
      <c r="F19" s="36"/>
      <c r="G19" s="36" t="s">
        <v>160</v>
      </c>
      <c r="H19" s="39">
        <v>45350</v>
      </c>
      <c r="I19" s="36" t="s">
        <v>49</v>
      </c>
      <c r="J19" s="36" t="s">
        <v>31</v>
      </c>
      <c r="K19" s="36" t="s">
        <v>32</v>
      </c>
      <c r="L19" s="36"/>
      <c r="M19" s="36"/>
      <c r="N19" s="36" t="s">
        <v>31</v>
      </c>
      <c r="O19" s="36" t="s">
        <v>33</v>
      </c>
      <c r="P19" s="36"/>
      <c r="Q19" s="36">
        <v>0</v>
      </c>
      <c r="R19" s="39">
        <v>45350</v>
      </c>
      <c r="S19" s="36" t="s">
        <v>80</v>
      </c>
      <c r="T19" s="39">
        <v>45350</v>
      </c>
      <c r="U19" s="36" t="s">
        <v>81</v>
      </c>
      <c r="V19" s="40" t="s">
        <v>82</v>
      </c>
      <c r="W19" s="36" t="s">
        <v>83</v>
      </c>
      <c r="X19" s="36" t="s">
        <v>84</v>
      </c>
      <c r="Y19" s="36" t="s">
        <v>85</v>
      </c>
      <c r="Z19" s="36" t="s">
        <v>86</v>
      </c>
      <c r="AA19" s="36"/>
      <c r="AB19" s="36"/>
      <c r="AC19" s="36" t="s">
        <v>87</v>
      </c>
      <c r="AD19" s="36">
        <v>109</v>
      </c>
      <c r="AE19" s="36"/>
      <c r="AF19" s="39"/>
      <c r="AG19" s="36"/>
      <c r="AH19" s="36" t="s">
        <v>34</v>
      </c>
      <c r="AI19" s="36" t="s">
        <v>88</v>
      </c>
      <c r="AJ19" s="36" t="s">
        <v>51</v>
      </c>
      <c r="AK19" s="41">
        <f>COUNTIF(Fives[Upgraded By],Fives[[#This Row],[Upgraded By]])</f>
        <v>1</v>
      </c>
      <c r="AL19" s="41" t="str">
        <f>IF(Fives[[#This Row],[Split Credit]]="",Fives[[#This Row],[Upgraded By]],IF(ISNUMBER(FIND(Fives[[#This Row],[Upgraded By]],Fives[[#This Row],[Split Credit]])),Fives[[#This Row],[Split Credit]],Fives[[#This Row],[Upgraded By]]&amp;"; "&amp;Fives[[#This Row],[Split Credit]]))</f>
        <v>Mike</v>
      </c>
    </row>
    <row r="20" spans="1:38" x14ac:dyDescent="0.8">
      <c r="A20" s="36" t="s">
        <v>89</v>
      </c>
      <c r="B20" s="36" t="s">
        <v>90</v>
      </c>
      <c r="C20" s="36" t="s">
        <v>91</v>
      </c>
      <c r="D20" s="37" t="s">
        <v>128</v>
      </c>
      <c r="E20" s="38" t="s">
        <v>64</v>
      </c>
      <c r="F20" s="36"/>
      <c r="G20" s="36" t="s">
        <v>64</v>
      </c>
      <c r="H20" s="39">
        <v>45354</v>
      </c>
      <c r="I20" s="36" t="s">
        <v>49</v>
      </c>
      <c r="J20" s="36" t="s">
        <v>31</v>
      </c>
      <c r="K20" s="36" t="s">
        <v>32</v>
      </c>
      <c r="L20" s="36"/>
      <c r="M20" s="36"/>
      <c r="N20" s="36" t="s">
        <v>31</v>
      </c>
      <c r="O20" s="36" t="s">
        <v>33</v>
      </c>
      <c r="P20" s="36"/>
      <c r="Q20" s="36">
        <v>0</v>
      </c>
      <c r="R20" s="39">
        <v>45352</v>
      </c>
      <c r="S20" s="36" t="s">
        <v>93</v>
      </c>
      <c r="T20" s="39">
        <v>45352</v>
      </c>
      <c r="U20" s="36" t="s">
        <v>94</v>
      </c>
      <c r="V20" s="40" t="s">
        <v>95</v>
      </c>
      <c r="W20" s="36" t="s">
        <v>96</v>
      </c>
      <c r="X20" s="36" t="s">
        <v>97</v>
      </c>
      <c r="Y20" s="36" t="s">
        <v>98</v>
      </c>
      <c r="Z20" s="36" t="s">
        <v>56</v>
      </c>
      <c r="AA20" s="36"/>
      <c r="AB20" s="36"/>
      <c r="AC20" s="36" t="s">
        <v>99</v>
      </c>
      <c r="AD20" s="36">
        <v>59</v>
      </c>
      <c r="AE20" s="36"/>
      <c r="AF20" s="39"/>
      <c r="AG20" s="36"/>
      <c r="AH20" s="36" t="s">
        <v>34</v>
      </c>
      <c r="AI20" s="36" t="s">
        <v>100</v>
      </c>
      <c r="AJ20" s="36" t="s">
        <v>51</v>
      </c>
      <c r="AK20" s="41">
        <f>COUNTIF(Fives[Upgraded By],Fives[[#This Row],[Upgraded By]])</f>
        <v>37</v>
      </c>
      <c r="AL20" s="41" t="str">
        <f>IF(Fives[[#This Row],[Split Credit]]="",Fives[[#This Row],[Upgraded By]],IF(ISNUMBER(FIND(Fives[[#This Row],[Upgraded By]],Fives[[#This Row],[Split Credit]])),Fives[[#This Row],[Split Credit]],Fives[[#This Row],[Upgraded By]]&amp;"; "&amp;Fives[[#This Row],[Split Credit]]))</f>
        <v>Ben MacShane</v>
      </c>
    </row>
    <row r="21" spans="1:38" x14ac:dyDescent="0.8">
      <c r="A21" s="42" t="s">
        <v>101</v>
      </c>
      <c r="B21" s="42" t="s">
        <v>102</v>
      </c>
      <c r="C21" s="42" t="s">
        <v>103</v>
      </c>
      <c r="D21" s="43" t="s">
        <v>129</v>
      </c>
      <c r="E21" s="44" t="s">
        <v>64</v>
      </c>
      <c r="F21" s="42"/>
      <c r="G21" s="42" t="s">
        <v>64</v>
      </c>
      <c r="H21" s="45">
        <v>45354</v>
      </c>
      <c r="I21" s="42" t="s">
        <v>55</v>
      </c>
      <c r="J21" s="42" t="s">
        <v>31</v>
      </c>
      <c r="K21" s="42" t="s">
        <v>32</v>
      </c>
      <c r="L21" s="42"/>
      <c r="M21" s="42"/>
      <c r="N21" s="42" t="s">
        <v>31</v>
      </c>
      <c r="O21" s="42" t="s">
        <v>33</v>
      </c>
      <c r="P21" s="42"/>
      <c r="Q21" s="42">
        <v>0</v>
      </c>
      <c r="R21" s="45">
        <v>45351</v>
      </c>
      <c r="S21" s="42" t="s">
        <v>105</v>
      </c>
      <c r="T21" s="45">
        <v>45351</v>
      </c>
      <c r="U21" s="42" t="s">
        <v>59</v>
      </c>
      <c r="V21" s="46" t="s">
        <v>106</v>
      </c>
      <c r="W21" s="42" t="s">
        <v>107</v>
      </c>
      <c r="X21" s="42" t="s">
        <v>108</v>
      </c>
      <c r="Y21" s="42" t="s">
        <v>109</v>
      </c>
      <c r="Z21" s="42" t="s">
        <v>58</v>
      </c>
      <c r="AA21" s="42"/>
      <c r="AB21" s="42"/>
      <c r="AC21" s="42" t="s">
        <v>110</v>
      </c>
      <c r="AD21" s="42">
        <v>104</v>
      </c>
      <c r="AE21" s="42"/>
      <c r="AF21" s="45"/>
      <c r="AG21" s="42"/>
      <c r="AH21" s="42" t="s">
        <v>34</v>
      </c>
      <c r="AI21" s="42" t="s">
        <v>111</v>
      </c>
      <c r="AJ21" s="42" t="s">
        <v>51</v>
      </c>
      <c r="AK21" s="47">
        <f>COUNTIF(Fives[Upgraded By],Fives[[#This Row],[Upgraded By]])</f>
        <v>37</v>
      </c>
      <c r="AL21" s="47" t="str">
        <f>IF(Fives[[#This Row],[Split Credit]]="",Fives[[#This Row],[Upgraded By]],IF(ISNUMBER(FIND(Fives[[#This Row],[Upgraded By]],Fives[[#This Row],[Split Credit]])),Fives[[#This Row],[Split Credit]],Fives[[#This Row],[Upgraded By]]&amp;"; "&amp;Fives[[#This Row],[Split Credit]]))</f>
        <v>Ben MacShane</v>
      </c>
    </row>
    <row r="22" spans="1:38" x14ac:dyDescent="0.8">
      <c r="A22" s="36" t="s">
        <v>60</v>
      </c>
      <c r="B22" s="36" t="s">
        <v>61</v>
      </c>
      <c r="C22" s="36" t="s">
        <v>62</v>
      </c>
      <c r="D22" s="37" t="s">
        <v>130</v>
      </c>
      <c r="E22" s="38" t="s">
        <v>64</v>
      </c>
      <c r="F22" s="36"/>
      <c r="G22" s="36" t="s">
        <v>64</v>
      </c>
      <c r="H22" s="39">
        <v>45348</v>
      </c>
      <c r="I22" s="36" t="s">
        <v>55</v>
      </c>
      <c r="J22" s="36" t="s">
        <v>31</v>
      </c>
      <c r="K22" s="36" t="s">
        <v>32</v>
      </c>
      <c r="L22" s="36"/>
      <c r="M22" s="36"/>
      <c r="N22" s="36" t="s">
        <v>31</v>
      </c>
      <c r="O22" s="36" t="s">
        <v>33</v>
      </c>
      <c r="P22" s="36"/>
      <c r="Q22" s="36">
        <v>0</v>
      </c>
      <c r="R22" s="39">
        <v>45348</v>
      </c>
      <c r="S22" s="36" t="s">
        <v>65</v>
      </c>
      <c r="T22" s="39">
        <v>45348</v>
      </c>
      <c r="U22" s="36" t="s">
        <v>66</v>
      </c>
      <c r="V22" s="40" t="s">
        <v>67</v>
      </c>
      <c r="W22" s="36" t="s">
        <v>68</v>
      </c>
      <c r="X22" s="36" t="s">
        <v>69</v>
      </c>
      <c r="Y22" s="36" t="s">
        <v>70</v>
      </c>
      <c r="Z22" s="36" t="s">
        <v>71</v>
      </c>
      <c r="AA22" s="36" t="s">
        <v>72</v>
      </c>
      <c r="AB22" s="36"/>
      <c r="AC22" s="36" t="s">
        <v>73</v>
      </c>
      <c r="AD22" s="36">
        <v>93</v>
      </c>
      <c r="AE22" s="36">
        <v>0</v>
      </c>
      <c r="AF22" s="39">
        <v>44593</v>
      </c>
      <c r="AG22" s="36">
        <v>400000</v>
      </c>
      <c r="AH22" s="36" t="s">
        <v>57</v>
      </c>
      <c r="AI22" s="36" t="s">
        <v>74</v>
      </c>
      <c r="AJ22" s="36" t="s">
        <v>51</v>
      </c>
      <c r="AK22" s="41">
        <f>COUNTIF(Fives[Upgraded By],Fives[[#This Row],[Upgraded By]])</f>
        <v>37</v>
      </c>
      <c r="AL22" s="41" t="str">
        <f>IF(Fives[[#This Row],[Split Credit]]="",Fives[[#This Row],[Upgraded By]],IF(ISNUMBER(FIND(Fives[[#This Row],[Upgraded By]],Fives[[#This Row],[Split Credit]])),Fives[[#This Row],[Split Credit]],Fives[[#This Row],[Upgraded By]]&amp;"; "&amp;Fives[[#This Row],[Split Credit]]))</f>
        <v>Ben MacShane</v>
      </c>
    </row>
    <row r="23" spans="1:38" x14ac:dyDescent="0.8">
      <c r="A23" s="36" t="s">
        <v>75</v>
      </c>
      <c r="B23" s="36" t="s">
        <v>76</v>
      </c>
      <c r="C23" s="36" t="s">
        <v>77</v>
      </c>
      <c r="D23" s="37" t="s">
        <v>131</v>
      </c>
      <c r="E23" s="38" t="s">
        <v>79</v>
      </c>
      <c r="F23" s="36"/>
      <c r="G23" s="36" t="s">
        <v>64</v>
      </c>
      <c r="H23" s="39">
        <v>45350</v>
      </c>
      <c r="I23" s="36" t="s">
        <v>49</v>
      </c>
      <c r="J23" s="36" t="s">
        <v>31</v>
      </c>
      <c r="K23" s="36" t="s">
        <v>32</v>
      </c>
      <c r="L23" s="36"/>
      <c r="M23" s="36"/>
      <c r="N23" s="36" t="s">
        <v>31</v>
      </c>
      <c r="O23" s="36" t="s">
        <v>33</v>
      </c>
      <c r="P23" s="36"/>
      <c r="Q23" s="36">
        <v>0</v>
      </c>
      <c r="R23" s="39">
        <v>45350</v>
      </c>
      <c r="S23" s="36" t="s">
        <v>80</v>
      </c>
      <c r="T23" s="39">
        <v>45350</v>
      </c>
      <c r="U23" s="36" t="s">
        <v>81</v>
      </c>
      <c r="V23" s="40" t="s">
        <v>82</v>
      </c>
      <c r="W23" s="36" t="s">
        <v>83</v>
      </c>
      <c r="X23" s="36" t="s">
        <v>84</v>
      </c>
      <c r="Y23" s="36" t="s">
        <v>85</v>
      </c>
      <c r="Z23" s="36" t="s">
        <v>86</v>
      </c>
      <c r="AA23" s="36"/>
      <c r="AB23" s="36"/>
      <c r="AC23" s="36" t="s">
        <v>87</v>
      </c>
      <c r="AD23" s="36">
        <v>109</v>
      </c>
      <c r="AE23" s="36"/>
      <c r="AF23" s="39"/>
      <c r="AG23" s="36"/>
      <c r="AH23" s="36" t="s">
        <v>34</v>
      </c>
      <c r="AI23" s="36" t="s">
        <v>88</v>
      </c>
      <c r="AJ23" s="36" t="s">
        <v>51</v>
      </c>
      <c r="AK23" s="41">
        <f>COUNTIF(Fives[Upgraded By],Fives[[#This Row],[Upgraded By]])</f>
        <v>37</v>
      </c>
      <c r="AL23" s="41" t="str">
        <f>IF(Fives[[#This Row],[Split Credit]]="",Fives[[#This Row],[Upgraded By]],IF(ISNUMBER(FIND(Fives[[#This Row],[Upgraded By]],Fives[[#This Row],[Split Credit]])),Fives[[#This Row],[Split Credit]],Fives[[#This Row],[Upgraded By]]&amp;"; "&amp;Fives[[#This Row],[Split Credit]]))</f>
        <v>Ben MacShane</v>
      </c>
    </row>
    <row r="24" spans="1:38" x14ac:dyDescent="0.8">
      <c r="A24" s="36" t="s">
        <v>89</v>
      </c>
      <c r="B24" s="36" t="s">
        <v>90</v>
      </c>
      <c r="C24" s="36" t="s">
        <v>91</v>
      </c>
      <c r="D24" s="37" t="s">
        <v>132</v>
      </c>
      <c r="E24" s="38" t="s">
        <v>64</v>
      </c>
      <c r="F24" s="36"/>
      <c r="G24" s="36" t="s">
        <v>64</v>
      </c>
      <c r="H24" s="39">
        <v>45354</v>
      </c>
      <c r="I24" s="36" t="s">
        <v>49</v>
      </c>
      <c r="J24" s="36" t="s">
        <v>31</v>
      </c>
      <c r="K24" s="36" t="s">
        <v>32</v>
      </c>
      <c r="L24" s="36"/>
      <c r="M24" s="36"/>
      <c r="N24" s="36" t="s">
        <v>31</v>
      </c>
      <c r="O24" s="36" t="s">
        <v>33</v>
      </c>
      <c r="P24" s="36"/>
      <c r="Q24" s="36">
        <v>0</v>
      </c>
      <c r="R24" s="39">
        <v>45352</v>
      </c>
      <c r="S24" s="36" t="s">
        <v>93</v>
      </c>
      <c r="T24" s="39">
        <v>45352</v>
      </c>
      <c r="U24" s="36" t="s">
        <v>94</v>
      </c>
      <c r="V24" s="40" t="s">
        <v>95</v>
      </c>
      <c r="W24" s="36" t="s">
        <v>96</v>
      </c>
      <c r="X24" s="36" t="s">
        <v>97</v>
      </c>
      <c r="Y24" s="36" t="s">
        <v>98</v>
      </c>
      <c r="Z24" s="36" t="s">
        <v>56</v>
      </c>
      <c r="AA24" s="36"/>
      <c r="AB24" s="36"/>
      <c r="AC24" s="36" t="s">
        <v>99</v>
      </c>
      <c r="AD24" s="36">
        <v>59</v>
      </c>
      <c r="AE24" s="36"/>
      <c r="AF24" s="39"/>
      <c r="AG24" s="36"/>
      <c r="AH24" s="36" t="s">
        <v>34</v>
      </c>
      <c r="AI24" s="36" t="s">
        <v>100</v>
      </c>
      <c r="AJ24" s="36" t="s">
        <v>51</v>
      </c>
      <c r="AK24" s="41">
        <f>COUNTIF(Fives[Upgraded By],Fives[[#This Row],[Upgraded By]])</f>
        <v>37</v>
      </c>
      <c r="AL24" s="41" t="str">
        <f>IF(Fives[[#This Row],[Split Credit]]="",Fives[[#This Row],[Upgraded By]],IF(ISNUMBER(FIND(Fives[[#This Row],[Upgraded By]],Fives[[#This Row],[Split Credit]])),Fives[[#This Row],[Split Credit]],Fives[[#This Row],[Upgraded By]]&amp;"; "&amp;Fives[[#This Row],[Split Credit]]))</f>
        <v>Ben MacShane</v>
      </c>
    </row>
    <row r="25" spans="1:38" x14ac:dyDescent="0.8">
      <c r="A25" s="42" t="s">
        <v>101</v>
      </c>
      <c r="B25" s="42" t="s">
        <v>102</v>
      </c>
      <c r="C25" s="42" t="s">
        <v>103</v>
      </c>
      <c r="D25" s="43" t="s">
        <v>133</v>
      </c>
      <c r="E25" s="44" t="s">
        <v>64</v>
      </c>
      <c r="F25" s="42"/>
      <c r="G25" s="42" t="s">
        <v>162</v>
      </c>
      <c r="H25" s="45">
        <v>45354</v>
      </c>
      <c r="I25" s="42" t="s">
        <v>55</v>
      </c>
      <c r="J25" s="42" t="s">
        <v>31</v>
      </c>
      <c r="K25" s="42" t="s">
        <v>32</v>
      </c>
      <c r="L25" s="42"/>
      <c r="M25" s="42"/>
      <c r="N25" s="42" t="s">
        <v>31</v>
      </c>
      <c r="O25" s="42" t="s">
        <v>33</v>
      </c>
      <c r="P25" s="42"/>
      <c r="Q25" s="42">
        <v>0</v>
      </c>
      <c r="R25" s="45">
        <v>45351</v>
      </c>
      <c r="S25" s="42" t="s">
        <v>105</v>
      </c>
      <c r="T25" s="45">
        <v>45351</v>
      </c>
      <c r="U25" s="42" t="s">
        <v>59</v>
      </c>
      <c r="V25" s="46" t="s">
        <v>106</v>
      </c>
      <c r="W25" s="42" t="s">
        <v>107</v>
      </c>
      <c r="X25" s="42" t="s">
        <v>108</v>
      </c>
      <c r="Y25" s="42" t="s">
        <v>109</v>
      </c>
      <c r="Z25" s="42" t="s">
        <v>58</v>
      </c>
      <c r="AA25" s="42"/>
      <c r="AB25" s="42"/>
      <c r="AC25" s="42" t="s">
        <v>110</v>
      </c>
      <c r="AD25" s="42">
        <v>104</v>
      </c>
      <c r="AE25" s="42"/>
      <c r="AF25" s="45"/>
      <c r="AG25" s="42"/>
      <c r="AH25" s="42" t="s">
        <v>34</v>
      </c>
      <c r="AI25" s="42" t="s">
        <v>111</v>
      </c>
      <c r="AJ25" s="42" t="s">
        <v>51</v>
      </c>
      <c r="AK25" s="47">
        <f>COUNTIF(Fives[Upgraded By],Fives[[#This Row],[Upgraded By]])</f>
        <v>1</v>
      </c>
      <c r="AL25" s="47" t="str">
        <f>IF(Fives[[#This Row],[Split Credit]]="",Fives[[#This Row],[Upgraded By]],IF(ISNUMBER(FIND(Fives[[#This Row],[Upgraded By]],Fives[[#This Row],[Split Credit]])),Fives[[#This Row],[Split Credit]],Fives[[#This Row],[Upgraded By]]&amp;"; "&amp;Fives[[#This Row],[Split Credit]]))</f>
        <v>Crustaceous Investments</v>
      </c>
    </row>
    <row r="26" spans="1:38" x14ac:dyDescent="0.8">
      <c r="A26" s="36" t="s">
        <v>60</v>
      </c>
      <c r="B26" s="36" t="s">
        <v>61</v>
      </c>
      <c r="C26" s="36" t="s">
        <v>62</v>
      </c>
      <c r="D26" s="37" t="s">
        <v>134</v>
      </c>
      <c r="E26" s="38" t="s">
        <v>64</v>
      </c>
      <c r="F26" s="36"/>
      <c r="G26" s="36" t="s">
        <v>64</v>
      </c>
      <c r="H26" s="39">
        <v>45348</v>
      </c>
      <c r="I26" s="36" t="s">
        <v>55</v>
      </c>
      <c r="J26" s="36" t="s">
        <v>31</v>
      </c>
      <c r="K26" s="36" t="s">
        <v>32</v>
      </c>
      <c r="L26" s="36"/>
      <c r="M26" s="36"/>
      <c r="N26" s="36" t="s">
        <v>31</v>
      </c>
      <c r="O26" s="36" t="s">
        <v>33</v>
      </c>
      <c r="P26" s="36"/>
      <c r="Q26" s="36">
        <v>0</v>
      </c>
      <c r="R26" s="39">
        <v>45348</v>
      </c>
      <c r="S26" s="36" t="s">
        <v>65</v>
      </c>
      <c r="T26" s="39">
        <v>45348</v>
      </c>
      <c r="U26" s="36" t="s">
        <v>66</v>
      </c>
      <c r="V26" s="40" t="s">
        <v>67</v>
      </c>
      <c r="W26" s="36" t="s">
        <v>68</v>
      </c>
      <c r="X26" s="36" t="s">
        <v>69</v>
      </c>
      <c r="Y26" s="36" t="s">
        <v>70</v>
      </c>
      <c r="Z26" s="36" t="s">
        <v>71</v>
      </c>
      <c r="AA26" s="36" t="s">
        <v>72</v>
      </c>
      <c r="AB26" s="36"/>
      <c r="AC26" s="36" t="s">
        <v>73</v>
      </c>
      <c r="AD26" s="36">
        <v>93</v>
      </c>
      <c r="AE26" s="36">
        <v>0</v>
      </c>
      <c r="AF26" s="39">
        <v>44593</v>
      </c>
      <c r="AG26" s="36">
        <v>400000</v>
      </c>
      <c r="AH26" s="36" t="s">
        <v>57</v>
      </c>
      <c r="AI26" s="36" t="s">
        <v>74</v>
      </c>
      <c r="AJ26" s="36" t="s">
        <v>51</v>
      </c>
      <c r="AK26" s="41">
        <f>COUNTIF(Fives[Upgraded By],Fives[[#This Row],[Upgraded By]])</f>
        <v>37</v>
      </c>
      <c r="AL26" s="41" t="str">
        <f>IF(Fives[[#This Row],[Split Credit]]="",Fives[[#This Row],[Upgraded By]],IF(ISNUMBER(FIND(Fives[[#This Row],[Upgraded By]],Fives[[#This Row],[Split Credit]])),Fives[[#This Row],[Split Credit]],Fives[[#This Row],[Upgraded By]]&amp;"; "&amp;Fives[[#This Row],[Split Credit]]))</f>
        <v>Ben MacShane</v>
      </c>
    </row>
    <row r="27" spans="1:38" x14ac:dyDescent="0.8">
      <c r="A27" s="36" t="s">
        <v>75</v>
      </c>
      <c r="B27" s="36" t="s">
        <v>76</v>
      </c>
      <c r="C27" s="36" t="s">
        <v>77</v>
      </c>
      <c r="D27" s="37" t="s">
        <v>135</v>
      </c>
      <c r="E27" s="38" t="s">
        <v>79</v>
      </c>
      <c r="F27" s="36"/>
      <c r="G27" s="36" t="s">
        <v>64</v>
      </c>
      <c r="H27" s="39">
        <v>45350</v>
      </c>
      <c r="I27" s="36" t="s">
        <v>49</v>
      </c>
      <c r="J27" s="36" t="s">
        <v>31</v>
      </c>
      <c r="K27" s="36" t="s">
        <v>32</v>
      </c>
      <c r="L27" s="36"/>
      <c r="M27" s="36"/>
      <c r="N27" s="36" t="s">
        <v>31</v>
      </c>
      <c r="O27" s="36" t="s">
        <v>33</v>
      </c>
      <c r="P27" s="36"/>
      <c r="Q27" s="36">
        <v>0</v>
      </c>
      <c r="R27" s="39">
        <v>45350</v>
      </c>
      <c r="S27" s="36" t="s">
        <v>80</v>
      </c>
      <c r="T27" s="39">
        <v>45350</v>
      </c>
      <c r="U27" s="36" t="s">
        <v>81</v>
      </c>
      <c r="V27" s="40" t="s">
        <v>82</v>
      </c>
      <c r="W27" s="36" t="s">
        <v>83</v>
      </c>
      <c r="X27" s="36" t="s">
        <v>84</v>
      </c>
      <c r="Y27" s="36" t="s">
        <v>85</v>
      </c>
      <c r="Z27" s="36" t="s">
        <v>86</v>
      </c>
      <c r="AA27" s="36"/>
      <c r="AB27" s="36"/>
      <c r="AC27" s="36" t="s">
        <v>87</v>
      </c>
      <c r="AD27" s="36">
        <v>109</v>
      </c>
      <c r="AE27" s="36"/>
      <c r="AF27" s="39"/>
      <c r="AG27" s="36"/>
      <c r="AH27" s="36" t="s">
        <v>34</v>
      </c>
      <c r="AI27" s="36" t="s">
        <v>88</v>
      </c>
      <c r="AJ27" s="36" t="s">
        <v>51</v>
      </c>
      <c r="AK27" s="41">
        <f>COUNTIF(Fives[Upgraded By],Fives[[#This Row],[Upgraded By]])</f>
        <v>37</v>
      </c>
      <c r="AL27" s="41" t="str">
        <f>IF(Fives[[#This Row],[Split Credit]]="",Fives[[#This Row],[Upgraded By]],IF(ISNUMBER(FIND(Fives[[#This Row],[Upgraded By]],Fives[[#This Row],[Split Credit]])),Fives[[#This Row],[Split Credit]],Fives[[#This Row],[Upgraded By]]&amp;"; "&amp;Fives[[#This Row],[Split Credit]]))</f>
        <v>Ben MacShane</v>
      </c>
    </row>
    <row r="28" spans="1:38" x14ac:dyDescent="0.8">
      <c r="A28" s="36" t="s">
        <v>89</v>
      </c>
      <c r="B28" s="36" t="s">
        <v>90</v>
      </c>
      <c r="C28" s="36" t="s">
        <v>91</v>
      </c>
      <c r="D28" s="37" t="s">
        <v>136</v>
      </c>
      <c r="E28" s="38" t="s">
        <v>64</v>
      </c>
      <c r="F28" s="36"/>
      <c r="G28" s="36" t="s">
        <v>64</v>
      </c>
      <c r="H28" s="39">
        <v>45354</v>
      </c>
      <c r="I28" s="36" t="s">
        <v>49</v>
      </c>
      <c r="J28" s="36" t="s">
        <v>31</v>
      </c>
      <c r="K28" s="36" t="s">
        <v>32</v>
      </c>
      <c r="L28" s="36"/>
      <c r="M28" s="36"/>
      <c r="N28" s="36" t="s">
        <v>31</v>
      </c>
      <c r="O28" s="36" t="s">
        <v>33</v>
      </c>
      <c r="P28" s="36"/>
      <c r="Q28" s="36">
        <v>0</v>
      </c>
      <c r="R28" s="39">
        <v>45352</v>
      </c>
      <c r="S28" s="36" t="s">
        <v>93</v>
      </c>
      <c r="T28" s="39">
        <v>45352</v>
      </c>
      <c r="U28" s="36" t="s">
        <v>94</v>
      </c>
      <c r="V28" s="40" t="s">
        <v>95</v>
      </c>
      <c r="W28" s="36" t="s">
        <v>96</v>
      </c>
      <c r="X28" s="36" t="s">
        <v>97</v>
      </c>
      <c r="Y28" s="36" t="s">
        <v>98</v>
      </c>
      <c r="Z28" s="36" t="s">
        <v>56</v>
      </c>
      <c r="AA28" s="36"/>
      <c r="AB28" s="36"/>
      <c r="AC28" s="36" t="s">
        <v>99</v>
      </c>
      <c r="AD28" s="36">
        <v>59</v>
      </c>
      <c r="AE28" s="36"/>
      <c r="AF28" s="39"/>
      <c r="AG28" s="36"/>
      <c r="AH28" s="36" t="s">
        <v>34</v>
      </c>
      <c r="AI28" s="36" t="s">
        <v>100</v>
      </c>
      <c r="AJ28" s="36" t="s">
        <v>51</v>
      </c>
      <c r="AK28" s="41">
        <f>COUNTIF(Fives[Upgraded By],Fives[[#This Row],[Upgraded By]])</f>
        <v>37</v>
      </c>
      <c r="AL28" s="41" t="str">
        <f>IF(Fives[[#This Row],[Split Credit]]="",Fives[[#This Row],[Upgraded By]],IF(ISNUMBER(FIND(Fives[[#This Row],[Upgraded By]],Fives[[#This Row],[Split Credit]])),Fives[[#This Row],[Split Credit]],Fives[[#This Row],[Upgraded By]]&amp;"; "&amp;Fives[[#This Row],[Split Credit]]))</f>
        <v>Ben MacShane</v>
      </c>
    </row>
    <row r="29" spans="1:38" x14ac:dyDescent="0.8">
      <c r="A29" s="42" t="s">
        <v>101</v>
      </c>
      <c r="B29" s="42" t="s">
        <v>102</v>
      </c>
      <c r="C29" s="42" t="s">
        <v>103</v>
      </c>
      <c r="D29" s="43" t="s">
        <v>137</v>
      </c>
      <c r="E29" s="44" t="s">
        <v>64</v>
      </c>
      <c r="F29" s="42"/>
      <c r="G29" s="42" t="s">
        <v>64</v>
      </c>
      <c r="H29" s="45">
        <v>45354</v>
      </c>
      <c r="I29" s="42" t="s">
        <v>55</v>
      </c>
      <c r="J29" s="42" t="s">
        <v>31</v>
      </c>
      <c r="K29" s="42" t="s">
        <v>32</v>
      </c>
      <c r="L29" s="42"/>
      <c r="M29" s="42"/>
      <c r="N29" s="42" t="s">
        <v>31</v>
      </c>
      <c r="O29" s="42" t="s">
        <v>33</v>
      </c>
      <c r="P29" s="42"/>
      <c r="Q29" s="42">
        <v>0</v>
      </c>
      <c r="R29" s="45">
        <v>45351</v>
      </c>
      <c r="S29" s="42" t="s">
        <v>105</v>
      </c>
      <c r="T29" s="45">
        <v>45351</v>
      </c>
      <c r="U29" s="42" t="s">
        <v>59</v>
      </c>
      <c r="V29" s="46" t="s">
        <v>106</v>
      </c>
      <c r="W29" s="42" t="s">
        <v>107</v>
      </c>
      <c r="X29" s="42" t="s">
        <v>108</v>
      </c>
      <c r="Y29" s="42" t="s">
        <v>109</v>
      </c>
      <c r="Z29" s="42" t="s">
        <v>58</v>
      </c>
      <c r="AA29" s="42"/>
      <c r="AB29" s="42"/>
      <c r="AC29" s="42" t="s">
        <v>110</v>
      </c>
      <c r="AD29" s="42">
        <v>104</v>
      </c>
      <c r="AE29" s="42"/>
      <c r="AF29" s="45"/>
      <c r="AG29" s="42"/>
      <c r="AH29" s="42" t="s">
        <v>34</v>
      </c>
      <c r="AI29" s="42" t="s">
        <v>111</v>
      </c>
      <c r="AJ29" s="42" t="s">
        <v>51</v>
      </c>
      <c r="AK29" s="47">
        <f>COUNTIF(Fives[Upgraded By],Fives[[#This Row],[Upgraded By]])</f>
        <v>37</v>
      </c>
      <c r="AL29" s="47" t="str">
        <f>IF(Fives[[#This Row],[Split Credit]]="",Fives[[#This Row],[Upgraded By]],IF(ISNUMBER(FIND(Fives[[#This Row],[Upgraded By]],Fives[[#This Row],[Split Credit]])),Fives[[#This Row],[Split Credit]],Fives[[#This Row],[Upgraded By]]&amp;"; "&amp;Fives[[#This Row],[Split Credit]]))</f>
        <v>Ben MacShane</v>
      </c>
    </row>
    <row r="30" spans="1:38" x14ac:dyDescent="0.8">
      <c r="A30" s="36" t="s">
        <v>60</v>
      </c>
      <c r="B30" s="36" t="s">
        <v>61</v>
      </c>
      <c r="C30" s="36" t="s">
        <v>62</v>
      </c>
      <c r="D30" s="37" t="s">
        <v>138</v>
      </c>
      <c r="E30" s="38" t="s">
        <v>64</v>
      </c>
      <c r="F30" s="36"/>
      <c r="G30" s="36" t="s">
        <v>64</v>
      </c>
      <c r="H30" s="39">
        <v>45348</v>
      </c>
      <c r="I30" s="36" t="s">
        <v>55</v>
      </c>
      <c r="J30" s="36" t="s">
        <v>31</v>
      </c>
      <c r="K30" s="36" t="s">
        <v>32</v>
      </c>
      <c r="L30" s="36"/>
      <c r="M30" s="36"/>
      <c r="N30" s="36" t="s">
        <v>31</v>
      </c>
      <c r="O30" s="36" t="s">
        <v>33</v>
      </c>
      <c r="P30" s="36"/>
      <c r="Q30" s="36">
        <v>0</v>
      </c>
      <c r="R30" s="39">
        <v>45348</v>
      </c>
      <c r="S30" s="36" t="s">
        <v>65</v>
      </c>
      <c r="T30" s="39">
        <v>45348</v>
      </c>
      <c r="U30" s="36" t="s">
        <v>66</v>
      </c>
      <c r="V30" s="40" t="s">
        <v>67</v>
      </c>
      <c r="W30" s="36" t="s">
        <v>68</v>
      </c>
      <c r="X30" s="36" t="s">
        <v>69</v>
      </c>
      <c r="Y30" s="36" t="s">
        <v>70</v>
      </c>
      <c r="Z30" s="36" t="s">
        <v>71</v>
      </c>
      <c r="AA30" s="36" t="s">
        <v>72</v>
      </c>
      <c r="AB30" s="36"/>
      <c r="AC30" s="36" t="s">
        <v>73</v>
      </c>
      <c r="AD30" s="36">
        <v>93</v>
      </c>
      <c r="AE30" s="36">
        <v>0</v>
      </c>
      <c r="AF30" s="39">
        <v>44593</v>
      </c>
      <c r="AG30" s="36">
        <v>400000</v>
      </c>
      <c r="AH30" s="36" t="s">
        <v>57</v>
      </c>
      <c r="AI30" s="36" t="s">
        <v>74</v>
      </c>
      <c r="AJ30" s="36" t="s">
        <v>51</v>
      </c>
      <c r="AK30" s="41">
        <f>COUNTIF(Fives[Upgraded By],Fives[[#This Row],[Upgraded By]])</f>
        <v>37</v>
      </c>
      <c r="AL30" s="41" t="str">
        <f>IF(Fives[[#This Row],[Split Credit]]="",Fives[[#This Row],[Upgraded By]],IF(ISNUMBER(FIND(Fives[[#This Row],[Upgraded By]],Fives[[#This Row],[Split Credit]])),Fives[[#This Row],[Split Credit]],Fives[[#This Row],[Upgraded By]]&amp;"; "&amp;Fives[[#This Row],[Split Credit]]))</f>
        <v>Ben MacShane</v>
      </c>
    </row>
    <row r="31" spans="1:38" x14ac:dyDescent="0.8">
      <c r="A31" s="36" t="s">
        <v>75</v>
      </c>
      <c r="B31" s="36" t="s">
        <v>76</v>
      </c>
      <c r="C31" s="36" t="s">
        <v>77</v>
      </c>
      <c r="D31" s="37" t="s">
        <v>139</v>
      </c>
      <c r="E31" s="38" t="s">
        <v>79</v>
      </c>
      <c r="F31" s="36"/>
      <c r="G31" s="36" t="s">
        <v>64</v>
      </c>
      <c r="H31" s="39">
        <v>45350</v>
      </c>
      <c r="I31" s="36" t="s">
        <v>49</v>
      </c>
      <c r="J31" s="36" t="s">
        <v>31</v>
      </c>
      <c r="K31" s="36" t="s">
        <v>32</v>
      </c>
      <c r="L31" s="36"/>
      <c r="M31" s="36"/>
      <c r="N31" s="36" t="s">
        <v>31</v>
      </c>
      <c r="O31" s="36" t="s">
        <v>33</v>
      </c>
      <c r="P31" s="36"/>
      <c r="Q31" s="36">
        <v>0</v>
      </c>
      <c r="R31" s="39">
        <v>45350</v>
      </c>
      <c r="S31" s="36" t="s">
        <v>80</v>
      </c>
      <c r="T31" s="39">
        <v>45350</v>
      </c>
      <c r="U31" s="36" t="s">
        <v>81</v>
      </c>
      <c r="V31" s="40" t="s">
        <v>82</v>
      </c>
      <c r="W31" s="36" t="s">
        <v>83</v>
      </c>
      <c r="X31" s="36" t="s">
        <v>84</v>
      </c>
      <c r="Y31" s="36" t="s">
        <v>85</v>
      </c>
      <c r="Z31" s="36" t="s">
        <v>86</v>
      </c>
      <c r="AA31" s="36"/>
      <c r="AB31" s="36"/>
      <c r="AC31" s="36" t="s">
        <v>87</v>
      </c>
      <c r="AD31" s="36">
        <v>109</v>
      </c>
      <c r="AE31" s="36"/>
      <c r="AF31" s="39"/>
      <c r="AG31" s="36"/>
      <c r="AH31" s="36" t="s">
        <v>34</v>
      </c>
      <c r="AI31" s="36" t="s">
        <v>88</v>
      </c>
      <c r="AJ31" s="36" t="s">
        <v>51</v>
      </c>
      <c r="AK31" s="41">
        <f>COUNTIF(Fives[Upgraded By],Fives[[#This Row],[Upgraded By]])</f>
        <v>37</v>
      </c>
      <c r="AL31" s="41" t="str">
        <f>IF(Fives[[#This Row],[Split Credit]]="",Fives[[#This Row],[Upgraded By]],IF(ISNUMBER(FIND(Fives[[#This Row],[Upgraded By]],Fives[[#This Row],[Split Credit]])),Fives[[#This Row],[Split Credit]],Fives[[#This Row],[Upgraded By]]&amp;"; "&amp;Fives[[#This Row],[Split Credit]]))</f>
        <v>Ben MacShane</v>
      </c>
    </row>
    <row r="32" spans="1:38" x14ac:dyDescent="0.8">
      <c r="A32" s="36" t="s">
        <v>89</v>
      </c>
      <c r="B32" s="36" t="s">
        <v>90</v>
      </c>
      <c r="C32" s="36" t="s">
        <v>91</v>
      </c>
      <c r="D32" s="37" t="s">
        <v>140</v>
      </c>
      <c r="E32" s="38" t="s">
        <v>64</v>
      </c>
      <c r="F32" s="36"/>
      <c r="G32" s="36" t="s">
        <v>64</v>
      </c>
      <c r="H32" s="39">
        <v>45354</v>
      </c>
      <c r="I32" s="36" t="s">
        <v>49</v>
      </c>
      <c r="J32" s="36" t="s">
        <v>31</v>
      </c>
      <c r="K32" s="36" t="s">
        <v>32</v>
      </c>
      <c r="L32" s="36"/>
      <c r="M32" s="36"/>
      <c r="N32" s="36" t="s">
        <v>31</v>
      </c>
      <c r="O32" s="36" t="s">
        <v>33</v>
      </c>
      <c r="P32" s="36"/>
      <c r="Q32" s="36">
        <v>0</v>
      </c>
      <c r="R32" s="39">
        <v>45352</v>
      </c>
      <c r="S32" s="36" t="s">
        <v>93</v>
      </c>
      <c r="T32" s="39">
        <v>45352</v>
      </c>
      <c r="U32" s="36" t="s">
        <v>94</v>
      </c>
      <c r="V32" s="40" t="s">
        <v>95</v>
      </c>
      <c r="W32" s="36" t="s">
        <v>96</v>
      </c>
      <c r="X32" s="36" t="s">
        <v>97</v>
      </c>
      <c r="Y32" s="36" t="s">
        <v>98</v>
      </c>
      <c r="Z32" s="36" t="s">
        <v>56</v>
      </c>
      <c r="AA32" s="36"/>
      <c r="AB32" s="36"/>
      <c r="AC32" s="36" t="s">
        <v>99</v>
      </c>
      <c r="AD32" s="36">
        <v>59</v>
      </c>
      <c r="AE32" s="36"/>
      <c r="AF32" s="39"/>
      <c r="AG32" s="36"/>
      <c r="AH32" s="36" t="s">
        <v>34</v>
      </c>
      <c r="AI32" s="36" t="s">
        <v>100</v>
      </c>
      <c r="AJ32" s="36" t="s">
        <v>51</v>
      </c>
      <c r="AK32" s="41">
        <f>COUNTIF(Fives[Upgraded By],Fives[[#This Row],[Upgraded By]])</f>
        <v>37</v>
      </c>
      <c r="AL32" s="41" t="str">
        <f>IF(Fives[[#This Row],[Split Credit]]="",Fives[[#This Row],[Upgraded By]],IF(ISNUMBER(FIND(Fives[[#This Row],[Upgraded By]],Fives[[#This Row],[Split Credit]])),Fives[[#This Row],[Split Credit]],Fives[[#This Row],[Upgraded By]]&amp;"; "&amp;Fives[[#This Row],[Split Credit]]))</f>
        <v>Ben MacShane</v>
      </c>
    </row>
    <row r="33" spans="1:38" x14ac:dyDescent="0.8">
      <c r="A33" s="42" t="s">
        <v>101</v>
      </c>
      <c r="B33" s="42" t="s">
        <v>102</v>
      </c>
      <c r="C33" s="42" t="s">
        <v>103</v>
      </c>
      <c r="D33" s="43" t="s">
        <v>141</v>
      </c>
      <c r="E33" s="44" t="s">
        <v>64</v>
      </c>
      <c r="F33" s="42"/>
      <c r="G33" s="42" t="s">
        <v>64</v>
      </c>
      <c r="H33" s="45">
        <v>45354</v>
      </c>
      <c r="I33" s="42" t="s">
        <v>55</v>
      </c>
      <c r="J33" s="42" t="s">
        <v>31</v>
      </c>
      <c r="K33" s="42" t="s">
        <v>32</v>
      </c>
      <c r="L33" s="42"/>
      <c r="M33" s="42"/>
      <c r="N33" s="42" t="s">
        <v>31</v>
      </c>
      <c r="O33" s="42" t="s">
        <v>33</v>
      </c>
      <c r="P33" s="42"/>
      <c r="Q33" s="42">
        <v>0</v>
      </c>
      <c r="R33" s="45">
        <v>45351</v>
      </c>
      <c r="S33" s="42" t="s">
        <v>105</v>
      </c>
      <c r="T33" s="45">
        <v>45351</v>
      </c>
      <c r="U33" s="42" t="s">
        <v>59</v>
      </c>
      <c r="V33" s="46" t="s">
        <v>106</v>
      </c>
      <c r="W33" s="42" t="s">
        <v>107</v>
      </c>
      <c r="X33" s="42" t="s">
        <v>108</v>
      </c>
      <c r="Y33" s="42" t="s">
        <v>109</v>
      </c>
      <c r="Z33" s="42" t="s">
        <v>58</v>
      </c>
      <c r="AA33" s="42"/>
      <c r="AB33" s="42"/>
      <c r="AC33" s="42" t="s">
        <v>110</v>
      </c>
      <c r="AD33" s="42">
        <v>104</v>
      </c>
      <c r="AE33" s="42"/>
      <c r="AF33" s="45"/>
      <c r="AG33" s="42"/>
      <c r="AH33" s="42" t="s">
        <v>34</v>
      </c>
      <c r="AI33" s="42" t="s">
        <v>111</v>
      </c>
      <c r="AJ33" s="42" t="s">
        <v>51</v>
      </c>
      <c r="AK33" s="47">
        <f>COUNTIF(Fives[Upgraded By],Fives[[#This Row],[Upgraded By]])</f>
        <v>37</v>
      </c>
      <c r="AL33" s="47" t="str">
        <f>IF(Fives[[#This Row],[Split Credit]]="",Fives[[#This Row],[Upgraded By]],IF(ISNUMBER(FIND(Fives[[#This Row],[Upgraded By]],Fives[[#This Row],[Split Credit]])),Fives[[#This Row],[Split Credit]],Fives[[#This Row],[Upgraded By]]&amp;"; "&amp;Fives[[#This Row],[Split Credit]]))</f>
        <v>Ben MacShane</v>
      </c>
    </row>
    <row r="34" spans="1:38" x14ac:dyDescent="0.8">
      <c r="A34" s="36" t="s">
        <v>60</v>
      </c>
      <c r="B34" s="36" t="s">
        <v>61</v>
      </c>
      <c r="C34" s="36" t="s">
        <v>62</v>
      </c>
      <c r="D34" s="37" t="s">
        <v>142</v>
      </c>
      <c r="E34" s="38" t="s">
        <v>64</v>
      </c>
      <c r="F34" s="36"/>
      <c r="G34" s="36" t="s">
        <v>64</v>
      </c>
      <c r="H34" s="39">
        <v>45348</v>
      </c>
      <c r="I34" s="36" t="s">
        <v>55</v>
      </c>
      <c r="J34" s="36" t="s">
        <v>31</v>
      </c>
      <c r="K34" s="36" t="s">
        <v>32</v>
      </c>
      <c r="L34" s="36"/>
      <c r="M34" s="36"/>
      <c r="N34" s="36" t="s">
        <v>31</v>
      </c>
      <c r="O34" s="36" t="s">
        <v>33</v>
      </c>
      <c r="P34" s="36"/>
      <c r="Q34" s="36">
        <v>0</v>
      </c>
      <c r="R34" s="39">
        <v>45348</v>
      </c>
      <c r="S34" s="36" t="s">
        <v>65</v>
      </c>
      <c r="T34" s="39">
        <v>45348</v>
      </c>
      <c r="U34" s="36" t="s">
        <v>66</v>
      </c>
      <c r="V34" s="40" t="s">
        <v>67</v>
      </c>
      <c r="W34" s="36" t="s">
        <v>68</v>
      </c>
      <c r="X34" s="36" t="s">
        <v>69</v>
      </c>
      <c r="Y34" s="36" t="s">
        <v>70</v>
      </c>
      <c r="Z34" s="36" t="s">
        <v>71</v>
      </c>
      <c r="AA34" s="36" t="s">
        <v>72</v>
      </c>
      <c r="AB34" s="36"/>
      <c r="AC34" s="36" t="s">
        <v>73</v>
      </c>
      <c r="AD34" s="36">
        <v>93</v>
      </c>
      <c r="AE34" s="36">
        <v>0</v>
      </c>
      <c r="AF34" s="39">
        <v>44593</v>
      </c>
      <c r="AG34" s="36">
        <v>400000</v>
      </c>
      <c r="AH34" s="36" t="s">
        <v>57</v>
      </c>
      <c r="AI34" s="36" t="s">
        <v>74</v>
      </c>
      <c r="AJ34" s="36" t="s">
        <v>51</v>
      </c>
      <c r="AK34" s="41">
        <f>COUNTIF(Fives[Upgraded By],Fives[[#This Row],[Upgraded By]])</f>
        <v>37</v>
      </c>
      <c r="AL34" s="41" t="str">
        <f>IF(Fives[[#This Row],[Split Credit]]="",Fives[[#This Row],[Upgraded By]],IF(ISNUMBER(FIND(Fives[[#This Row],[Upgraded By]],Fives[[#This Row],[Split Credit]])),Fives[[#This Row],[Split Credit]],Fives[[#This Row],[Upgraded By]]&amp;"; "&amp;Fives[[#This Row],[Split Credit]]))</f>
        <v>Ben MacShane</v>
      </c>
    </row>
    <row r="35" spans="1:38" x14ac:dyDescent="0.8">
      <c r="A35" s="36" t="s">
        <v>75</v>
      </c>
      <c r="B35" s="36" t="s">
        <v>76</v>
      </c>
      <c r="C35" s="36" t="s">
        <v>77</v>
      </c>
      <c r="D35" s="37" t="s">
        <v>143</v>
      </c>
      <c r="E35" s="38" t="s">
        <v>79</v>
      </c>
      <c r="F35" s="36"/>
      <c r="G35" s="36" t="s">
        <v>64</v>
      </c>
      <c r="H35" s="39">
        <v>45350</v>
      </c>
      <c r="I35" s="36" t="s">
        <v>49</v>
      </c>
      <c r="J35" s="36" t="s">
        <v>31</v>
      </c>
      <c r="K35" s="36" t="s">
        <v>32</v>
      </c>
      <c r="L35" s="36"/>
      <c r="M35" s="36"/>
      <c r="N35" s="36" t="s">
        <v>31</v>
      </c>
      <c r="O35" s="36" t="s">
        <v>33</v>
      </c>
      <c r="P35" s="36"/>
      <c r="Q35" s="36">
        <v>0</v>
      </c>
      <c r="R35" s="39">
        <v>45350</v>
      </c>
      <c r="S35" s="36" t="s">
        <v>80</v>
      </c>
      <c r="T35" s="39">
        <v>45350</v>
      </c>
      <c r="U35" s="36" t="s">
        <v>81</v>
      </c>
      <c r="V35" s="40" t="s">
        <v>82</v>
      </c>
      <c r="W35" s="36" t="s">
        <v>83</v>
      </c>
      <c r="X35" s="36" t="s">
        <v>84</v>
      </c>
      <c r="Y35" s="36" t="s">
        <v>85</v>
      </c>
      <c r="Z35" s="36" t="s">
        <v>86</v>
      </c>
      <c r="AA35" s="36"/>
      <c r="AB35" s="36"/>
      <c r="AC35" s="36" t="s">
        <v>87</v>
      </c>
      <c r="AD35" s="36">
        <v>109</v>
      </c>
      <c r="AE35" s="36"/>
      <c r="AF35" s="39"/>
      <c r="AG35" s="36"/>
      <c r="AH35" s="36" t="s">
        <v>34</v>
      </c>
      <c r="AI35" s="36" t="s">
        <v>88</v>
      </c>
      <c r="AJ35" s="36" t="s">
        <v>51</v>
      </c>
      <c r="AK35" s="41">
        <f>COUNTIF(Fives[Upgraded By],Fives[[#This Row],[Upgraded By]])</f>
        <v>37</v>
      </c>
      <c r="AL35" s="41" t="str">
        <f>IF(Fives[[#This Row],[Split Credit]]="",Fives[[#This Row],[Upgraded By]],IF(ISNUMBER(FIND(Fives[[#This Row],[Upgraded By]],Fives[[#This Row],[Split Credit]])),Fives[[#This Row],[Split Credit]],Fives[[#This Row],[Upgraded By]]&amp;"; "&amp;Fives[[#This Row],[Split Credit]]))</f>
        <v>Ben MacShane</v>
      </c>
    </row>
    <row r="36" spans="1:38" x14ac:dyDescent="0.8">
      <c r="A36" s="36" t="s">
        <v>89</v>
      </c>
      <c r="B36" s="36" t="s">
        <v>90</v>
      </c>
      <c r="C36" s="36" t="s">
        <v>91</v>
      </c>
      <c r="D36" s="37" t="s">
        <v>144</v>
      </c>
      <c r="E36" s="38" t="s">
        <v>64</v>
      </c>
      <c r="F36" s="36"/>
      <c r="G36" s="36" t="s">
        <v>64</v>
      </c>
      <c r="H36" s="39">
        <v>45354</v>
      </c>
      <c r="I36" s="36" t="s">
        <v>49</v>
      </c>
      <c r="J36" s="36" t="s">
        <v>31</v>
      </c>
      <c r="K36" s="36" t="s">
        <v>32</v>
      </c>
      <c r="L36" s="36"/>
      <c r="M36" s="36"/>
      <c r="N36" s="36" t="s">
        <v>31</v>
      </c>
      <c r="O36" s="36" t="s">
        <v>33</v>
      </c>
      <c r="P36" s="36"/>
      <c r="Q36" s="36">
        <v>0</v>
      </c>
      <c r="R36" s="39">
        <v>45352</v>
      </c>
      <c r="S36" s="36" t="s">
        <v>93</v>
      </c>
      <c r="T36" s="39">
        <v>45352</v>
      </c>
      <c r="U36" s="36" t="s">
        <v>94</v>
      </c>
      <c r="V36" s="40" t="s">
        <v>95</v>
      </c>
      <c r="W36" s="36" t="s">
        <v>96</v>
      </c>
      <c r="X36" s="36" t="s">
        <v>97</v>
      </c>
      <c r="Y36" s="36" t="s">
        <v>98</v>
      </c>
      <c r="Z36" s="36" t="s">
        <v>56</v>
      </c>
      <c r="AA36" s="36"/>
      <c r="AB36" s="36"/>
      <c r="AC36" s="36" t="s">
        <v>99</v>
      </c>
      <c r="AD36" s="36">
        <v>59</v>
      </c>
      <c r="AE36" s="36"/>
      <c r="AF36" s="39"/>
      <c r="AG36" s="36"/>
      <c r="AH36" s="36" t="s">
        <v>34</v>
      </c>
      <c r="AI36" s="36" t="s">
        <v>100</v>
      </c>
      <c r="AJ36" s="36" t="s">
        <v>51</v>
      </c>
      <c r="AK36" s="41">
        <f>COUNTIF(Fives[Upgraded By],Fives[[#This Row],[Upgraded By]])</f>
        <v>37</v>
      </c>
      <c r="AL36" s="41" t="str">
        <f>IF(Fives[[#This Row],[Split Credit]]="",Fives[[#This Row],[Upgraded By]],IF(ISNUMBER(FIND(Fives[[#This Row],[Upgraded By]],Fives[[#This Row],[Split Credit]])),Fives[[#This Row],[Split Credit]],Fives[[#This Row],[Upgraded By]]&amp;"; "&amp;Fives[[#This Row],[Split Credit]]))</f>
        <v>Ben MacShane</v>
      </c>
    </row>
    <row r="37" spans="1:38" x14ac:dyDescent="0.8">
      <c r="A37" s="42" t="s">
        <v>101</v>
      </c>
      <c r="B37" s="42" t="s">
        <v>102</v>
      </c>
      <c r="C37" s="42" t="s">
        <v>103</v>
      </c>
      <c r="D37" s="43" t="s">
        <v>145</v>
      </c>
      <c r="E37" s="44" t="s">
        <v>64</v>
      </c>
      <c r="F37" s="42"/>
      <c r="G37" s="42" t="s">
        <v>64</v>
      </c>
      <c r="H37" s="45">
        <v>45354</v>
      </c>
      <c r="I37" s="42" t="s">
        <v>55</v>
      </c>
      <c r="J37" s="42" t="s">
        <v>31</v>
      </c>
      <c r="K37" s="42" t="s">
        <v>32</v>
      </c>
      <c r="L37" s="42"/>
      <c r="M37" s="42"/>
      <c r="N37" s="42" t="s">
        <v>31</v>
      </c>
      <c r="O37" s="42" t="s">
        <v>33</v>
      </c>
      <c r="P37" s="42"/>
      <c r="Q37" s="42">
        <v>0</v>
      </c>
      <c r="R37" s="45">
        <v>45351</v>
      </c>
      <c r="S37" s="42" t="s">
        <v>105</v>
      </c>
      <c r="T37" s="45">
        <v>45351</v>
      </c>
      <c r="U37" s="42" t="s">
        <v>59</v>
      </c>
      <c r="V37" s="46" t="s">
        <v>106</v>
      </c>
      <c r="W37" s="42" t="s">
        <v>107</v>
      </c>
      <c r="X37" s="42" t="s">
        <v>108</v>
      </c>
      <c r="Y37" s="42" t="s">
        <v>109</v>
      </c>
      <c r="Z37" s="42" t="s">
        <v>58</v>
      </c>
      <c r="AA37" s="42"/>
      <c r="AB37" s="42"/>
      <c r="AC37" s="42" t="s">
        <v>110</v>
      </c>
      <c r="AD37" s="42">
        <v>104</v>
      </c>
      <c r="AE37" s="42"/>
      <c r="AF37" s="45"/>
      <c r="AG37" s="42"/>
      <c r="AH37" s="42" t="s">
        <v>34</v>
      </c>
      <c r="AI37" s="42" t="s">
        <v>111</v>
      </c>
      <c r="AJ37" s="42" t="s">
        <v>51</v>
      </c>
      <c r="AK37" s="47">
        <f>COUNTIF(Fives[Upgraded By],Fives[[#This Row],[Upgraded By]])</f>
        <v>37</v>
      </c>
      <c r="AL37" s="47" t="str">
        <f>IF(Fives[[#This Row],[Split Credit]]="",Fives[[#This Row],[Upgraded By]],IF(ISNUMBER(FIND(Fives[[#This Row],[Upgraded By]],Fives[[#This Row],[Split Credit]])),Fives[[#This Row],[Split Credit]],Fives[[#This Row],[Upgraded By]]&amp;"; "&amp;Fives[[#This Row],[Split Credit]]))</f>
        <v>Ben MacShane</v>
      </c>
    </row>
    <row r="38" spans="1:38" x14ac:dyDescent="0.8">
      <c r="A38" s="36" t="s">
        <v>60</v>
      </c>
      <c r="B38" s="36" t="s">
        <v>61</v>
      </c>
      <c r="C38" s="36" t="s">
        <v>62</v>
      </c>
      <c r="D38" s="37" t="s">
        <v>146</v>
      </c>
      <c r="E38" s="38" t="s">
        <v>64</v>
      </c>
      <c r="F38" s="36"/>
      <c r="G38" s="36" t="s">
        <v>64</v>
      </c>
      <c r="H38" s="39">
        <v>45348</v>
      </c>
      <c r="I38" s="36" t="s">
        <v>55</v>
      </c>
      <c r="J38" s="36" t="s">
        <v>31</v>
      </c>
      <c r="K38" s="36" t="s">
        <v>32</v>
      </c>
      <c r="L38" s="36"/>
      <c r="M38" s="36"/>
      <c r="N38" s="36" t="s">
        <v>31</v>
      </c>
      <c r="O38" s="36" t="s">
        <v>33</v>
      </c>
      <c r="P38" s="36"/>
      <c r="Q38" s="36">
        <v>0</v>
      </c>
      <c r="R38" s="39">
        <v>45348</v>
      </c>
      <c r="S38" s="36" t="s">
        <v>65</v>
      </c>
      <c r="T38" s="39">
        <v>45348</v>
      </c>
      <c r="U38" s="36" t="s">
        <v>66</v>
      </c>
      <c r="V38" s="40" t="s">
        <v>67</v>
      </c>
      <c r="W38" s="36" t="s">
        <v>68</v>
      </c>
      <c r="X38" s="36" t="s">
        <v>69</v>
      </c>
      <c r="Y38" s="36" t="s">
        <v>70</v>
      </c>
      <c r="Z38" s="36" t="s">
        <v>71</v>
      </c>
      <c r="AA38" s="36" t="s">
        <v>72</v>
      </c>
      <c r="AB38" s="36"/>
      <c r="AC38" s="36" t="s">
        <v>73</v>
      </c>
      <c r="AD38" s="36">
        <v>93</v>
      </c>
      <c r="AE38" s="36">
        <v>0</v>
      </c>
      <c r="AF38" s="39">
        <v>44593</v>
      </c>
      <c r="AG38" s="36">
        <v>400000</v>
      </c>
      <c r="AH38" s="36" t="s">
        <v>57</v>
      </c>
      <c r="AI38" s="36" t="s">
        <v>74</v>
      </c>
      <c r="AJ38" s="36" t="s">
        <v>51</v>
      </c>
      <c r="AK38" s="41">
        <f>COUNTIF(Fives[Upgraded By],Fives[[#This Row],[Upgraded By]])</f>
        <v>37</v>
      </c>
      <c r="AL38" s="41" t="str">
        <f>IF(Fives[[#This Row],[Split Credit]]="",Fives[[#This Row],[Upgraded By]],IF(ISNUMBER(FIND(Fives[[#This Row],[Upgraded By]],Fives[[#This Row],[Split Credit]])),Fives[[#This Row],[Split Credit]],Fives[[#This Row],[Upgraded By]]&amp;"; "&amp;Fives[[#This Row],[Split Credit]]))</f>
        <v>Ben MacShane</v>
      </c>
    </row>
    <row r="39" spans="1:38" x14ac:dyDescent="0.8">
      <c r="A39" s="36" t="s">
        <v>75</v>
      </c>
      <c r="B39" s="36" t="s">
        <v>76</v>
      </c>
      <c r="C39" s="36" t="s">
        <v>77</v>
      </c>
      <c r="D39" s="37" t="s">
        <v>147</v>
      </c>
      <c r="E39" s="38" t="s">
        <v>79</v>
      </c>
      <c r="F39" s="36"/>
      <c r="G39" s="36" t="s">
        <v>158</v>
      </c>
      <c r="H39" s="39">
        <v>45350</v>
      </c>
      <c r="I39" s="36" t="s">
        <v>49</v>
      </c>
      <c r="J39" s="36" t="s">
        <v>31</v>
      </c>
      <c r="K39" s="36" t="s">
        <v>32</v>
      </c>
      <c r="L39" s="36"/>
      <c r="M39" s="36"/>
      <c r="N39" s="36" t="s">
        <v>31</v>
      </c>
      <c r="O39" s="36" t="s">
        <v>33</v>
      </c>
      <c r="P39" s="36"/>
      <c r="Q39" s="36">
        <v>0</v>
      </c>
      <c r="R39" s="39">
        <v>45350</v>
      </c>
      <c r="S39" s="36" t="s">
        <v>80</v>
      </c>
      <c r="T39" s="39">
        <v>45350</v>
      </c>
      <c r="U39" s="36" t="s">
        <v>81</v>
      </c>
      <c r="V39" s="40" t="s">
        <v>82</v>
      </c>
      <c r="W39" s="36" t="s">
        <v>83</v>
      </c>
      <c r="X39" s="36" t="s">
        <v>84</v>
      </c>
      <c r="Y39" s="36" t="s">
        <v>85</v>
      </c>
      <c r="Z39" s="36" t="s">
        <v>86</v>
      </c>
      <c r="AA39" s="36"/>
      <c r="AB39" s="36"/>
      <c r="AC39" s="36" t="s">
        <v>87</v>
      </c>
      <c r="AD39" s="36">
        <v>109</v>
      </c>
      <c r="AE39" s="36"/>
      <c r="AF39" s="39"/>
      <c r="AG39" s="36"/>
      <c r="AH39" s="36" t="s">
        <v>34</v>
      </c>
      <c r="AI39" s="36" t="s">
        <v>88</v>
      </c>
      <c r="AJ39" s="36" t="s">
        <v>51</v>
      </c>
      <c r="AK39" s="41">
        <f>COUNTIF(Fives[Upgraded By],Fives[[#This Row],[Upgraded By]])</f>
        <v>1</v>
      </c>
      <c r="AL39" s="41" t="str">
        <f>IF(Fives[[#This Row],[Split Credit]]="",Fives[[#This Row],[Upgraded By]],IF(ISNUMBER(FIND(Fives[[#This Row],[Upgraded By]],Fives[[#This Row],[Split Credit]])),Fives[[#This Row],[Split Credit]],Fives[[#This Row],[Upgraded By]]&amp;"; "&amp;Fives[[#This Row],[Split Credit]]))</f>
        <v>Gluteus Pencilman</v>
      </c>
    </row>
    <row r="40" spans="1:38" x14ac:dyDescent="0.8">
      <c r="A40" s="36" t="s">
        <v>89</v>
      </c>
      <c r="B40" s="36" t="s">
        <v>90</v>
      </c>
      <c r="C40" s="36" t="s">
        <v>91</v>
      </c>
      <c r="D40" s="37" t="s">
        <v>148</v>
      </c>
      <c r="E40" s="38" t="s">
        <v>64</v>
      </c>
      <c r="F40" s="36"/>
      <c r="G40" s="36" t="s">
        <v>64</v>
      </c>
      <c r="H40" s="39">
        <v>45354</v>
      </c>
      <c r="I40" s="36" t="s">
        <v>49</v>
      </c>
      <c r="J40" s="36" t="s">
        <v>31</v>
      </c>
      <c r="K40" s="36" t="s">
        <v>32</v>
      </c>
      <c r="L40" s="36"/>
      <c r="M40" s="36"/>
      <c r="N40" s="36" t="s">
        <v>31</v>
      </c>
      <c r="O40" s="36" t="s">
        <v>33</v>
      </c>
      <c r="P40" s="36"/>
      <c r="Q40" s="36">
        <v>0</v>
      </c>
      <c r="R40" s="39">
        <v>45352</v>
      </c>
      <c r="S40" s="36" t="s">
        <v>93</v>
      </c>
      <c r="T40" s="39">
        <v>45352</v>
      </c>
      <c r="U40" s="36" t="s">
        <v>94</v>
      </c>
      <c r="V40" s="40" t="s">
        <v>95</v>
      </c>
      <c r="W40" s="36" t="s">
        <v>96</v>
      </c>
      <c r="X40" s="36" t="s">
        <v>97</v>
      </c>
      <c r="Y40" s="36" t="s">
        <v>98</v>
      </c>
      <c r="Z40" s="36" t="s">
        <v>56</v>
      </c>
      <c r="AA40" s="36"/>
      <c r="AB40" s="36"/>
      <c r="AC40" s="36" t="s">
        <v>99</v>
      </c>
      <c r="AD40" s="36">
        <v>59</v>
      </c>
      <c r="AE40" s="36"/>
      <c r="AF40" s="39"/>
      <c r="AG40" s="36"/>
      <c r="AH40" s="36" t="s">
        <v>34</v>
      </c>
      <c r="AI40" s="36" t="s">
        <v>100</v>
      </c>
      <c r="AJ40" s="36" t="s">
        <v>51</v>
      </c>
      <c r="AK40" s="41">
        <f>COUNTIF(Fives[Upgraded By],Fives[[#This Row],[Upgraded By]])</f>
        <v>37</v>
      </c>
      <c r="AL40" s="41" t="str">
        <f>IF(Fives[[#This Row],[Split Credit]]="",Fives[[#This Row],[Upgraded By]],IF(ISNUMBER(FIND(Fives[[#This Row],[Upgraded By]],Fives[[#This Row],[Split Credit]])),Fives[[#This Row],[Split Credit]],Fives[[#This Row],[Upgraded By]]&amp;"; "&amp;Fives[[#This Row],[Split Credit]]))</f>
        <v>Ben MacShane</v>
      </c>
    </row>
    <row r="41" spans="1:38" x14ac:dyDescent="0.8">
      <c r="A41" s="42" t="s">
        <v>101</v>
      </c>
      <c r="B41" s="42" t="s">
        <v>102</v>
      </c>
      <c r="C41" s="42" t="s">
        <v>103</v>
      </c>
      <c r="D41" s="43" t="s">
        <v>149</v>
      </c>
      <c r="E41" s="44" t="s">
        <v>64</v>
      </c>
      <c r="F41" s="42"/>
      <c r="G41" s="42" t="s">
        <v>159</v>
      </c>
      <c r="H41" s="45">
        <v>45354</v>
      </c>
      <c r="I41" s="42" t="s">
        <v>55</v>
      </c>
      <c r="J41" s="42" t="s">
        <v>31</v>
      </c>
      <c r="K41" s="42" t="s">
        <v>32</v>
      </c>
      <c r="L41" s="42"/>
      <c r="M41" s="42"/>
      <c r="N41" s="42" t="s">
        <v>31</v>
      </c>
      <c r="O41" s="42" t="s">
        <v>33</v>
      </c>
      <c r="P41" s="42"/>
      <c r="Q41" s="42">
        <v>0</v>
      </c>
      <c r="R41" s="45">
        <v>45351</v>
      </c>
      <c r="S41" s="42" t="s">
        <v>105</v>
      </c>
      <c r="T41" s="45">
        <v>45351</v>
      </c>
      <c r="U41" s="42" t="s">
        <v>59</v>
      </c>
      <c r="V41" s="46" t="s">
        <v>106</v>
      </c>
      <c r="W41" s="42" t="s">
        <v>107</v>
      </c>
      <c r="X41" s="42" t="s">
        <v>108</v>
      </c>
      <c r="Y41" s="42" t="s">
        <v>109</v>
      </c>
      <c r="Z41" s="42" t="s">
        <v>58</v>
      </c>
      <c r="AA41" s="42"/>
      <c r="AB41" s="42"/>
      <c r="AC41" s="42" t="s">
        <v>110</v>
      </c>
      <c r="AD41" s="42">
        <v>104</v>
      </c>
      <c r="AE41" s="42"/>
      <c r="AF41" s="45"/>
      <c r="AG41" s="42"/>
      <c r="AH41" s="42" t="s">
        <v>34</v>
      </c>
      <c r="AI41" s="42" t="s">
        <v>111</v>
      </c>
      <c r="AJ41" s="42" t="s">
        <v>51</v>
      </c>
      <c r="AK41" s="47">
        <f>COUNTIF(Fives[Upgraded By],Fives[[#This Row],[Upgraded By]])</f>
        <v>1</v>
      </c>
      <c r="AL41" s="47" t="str">
        <f>IF(Fives[[#This Row],[Split Credit]]="",Fives[[#This Row],[Upgraded By]],IF(ISNUMBER(FIND(Fives[[#This Row],[Upgraded By]],Fives[[#This Row],[Split Credit]])),Fives[[#This Row],[Split Credit]],Fives[[#This Row],[Upgraded By]]&amp;"; "&amp;Fives[[#This Row],[Split Credit]]))</f>
        <v>Preston Presstors</v>
      </c>
    </row>
    <row r="42" spans="1:38" x14ac:dyDescent="0.8">
      <c r="A42" s="36" t="s">
        <v>60</v>
      </c>
      <c r="B42" s="36" t="s">
        <v>61</v>
      </c>
      <c r="C42" s="36" t="s">
        <v>62</v>
      </c>
      <c r="D42" s="37" t="s">
        <v>150</v>
      </c>
      <c r="E42" s="38" t="s">
        <v>64</v>
      </c>
      <c r="F42" s="36"/>
      <c r="G42" s="36" t="s">
        <v>64</v>
      </c>
      <c r="H42" s="39">
        <v>45348</v>
      </c>
      <c r="I42" s="36" t="s">
        <v>55</v>
      </c>
      <c r="J42" s="36" t="s">
        <v>31</v>
      </c>
      <c r="K42" s="36" t="s">
        <v>32</v>
      </c>
      <c r="L42" s="36"/>
      <c r="M42" s="36"/>
      <c r="N42" s="36" t="s">
        <v>31</v>
      </c>
      <c r="O42" s="36" t="s">
        <v>33</v>
      </c>
      <c r="P42" s="36"/>
      <c r="Q42" s="36">
        <v>0</v>
      </c>
      <c r="R42" s="39">
        <v>45348</v>
      </c>
      <c r="S42" s="36" t="s">
        <v>65</v>
      </c>
      <c r="T42" s="39">
        <v>45348</v>
      </c>
      <c r="U42" s="36" t="s">
        <v>66</v>
      </c>
      <c r="V42" s="40" t="s">
        <v>67</v>
      </c>
      <c r="W42" s="36" t="s">
        <v>68</v>
      </c>
      <c r="X42" s="36" t="s">
        <v>69</v>
      </c>
      <c r="Y42" s="36" t="s">
        <v>70</v>
      </c>
      <c r="Z42" s="36" t="s">
        <v>71</v>
      </c>
      <c r="AA42" s="36" t="s">
        <v>72</v>
      </c>
      <c r="AB42" s="36"/>
      <c r="AC42" s="36" t="s">
        <v>73</v>
      </c>
      <c r="AD42" s="36">
        <v>93</v>
      </c>
      <c r="AE42" s="36">
        <v>0</v>
      </c>
      <c r="AF42" s="39">
        <v>44593</v>
      </c>
      <c r="AG42" s="36">
        <v>400000</v>
      </c>
      <c r="AH42" s="36" t="s">
        <v>57</v>
      </c>
      <c r="AI42" s="36" t="s">
        <v>74</v>
      </c>
      <c r="AJ42" s="36" t="s">
        <v>51</v>
      </c>
      <c r="AK42" s="41">
        <f>COUNTIF(Fives[Upgraded By],Fives[[#This Row],[Upgraded By]])</f>
        <v>37</v>
      </c>
      <c r="AL42" s="41" t="str">
        <f>IF(Fives[[#This Row],[Split Credit]]="",Fives[[#This Row],[Upgraded By]],IF(ISNUMBER(FIND(Fives[[#This Row],[Upgraded By]],Fives[[#This Row],[Split Credit]])),Fives[[#This Row],[Split Credit]],Fives[[#This Row],[Upgraded By]]&amp;"; "&amp;Fives[[#This Row],[Split Credit]]))</f>
        <v>Ben MacShane</v>
      </c>
    </row>
    <row r="43" spans="1:38" x14ac:dyDescent="0.8">
      <c r="A43" s="36" t="s">
        <v>75</v>
      </c>
      <c r="B43" s="36" t="s">
        <v>76</v>
      </c>
      <c r="C43" s="36" t="s">
        <v>77</v>
      </c>
      <c r="D43" s="37" t="s">
        <v>151</v>
      </c>
      <c r="E43" s="38" t="s">
        <v>79</v>
      </c>
      <c r="F43" s="36"/>
      <c r="G43" s="36" t="s">
        <v>64</v>
      </c>
      <c r="H43" s="39">
        <v>45350</v>
      </c>
      <c r="I43" s="36" t="s">
        <v>49</v>
      </c>
      <c r="J43" s="36" t="s">
        <v>31</v>
      </c>
      <c r="K43" s="36" t="s">
        <v>32</v>
      </c>
      <c r="L43" s="36"/>
      <c r="M43" s="36"/>
      <c r="N43" s="36" t="s">
        <v>31</v>
      </c>
      <c r="O43" s="36" t="s">
        <v>33</v>
      </c>
      <c r="P43" s="36"/>
      <c r="Q43" s="36">
        <v>0</v>
      </c>
      <c r="R43" s="39">
        <v>45350</v>
      </c>
      <c r="S43" s="36" t="s">
        <v>80</v>
      </c>
      <c r="T43" s="39">
        <v>45350</v>
      </c>
      <c r="U43" s="36" t="s">
        <v>81</v>
      </c>
      <c r="V43" s="40" t="s">
        <v>82</v>
      </c>
      <c r="W43" s="36" t="s">
        <v>83</v>
      </c>
      <c r="X43" s="36" t="s">
        <v>84</v>
      </c>
      <c r="Y43" s="36" t="s">
        <v>85</v>
      </c>
      <c r="Z43" s="36" t="s">
        <v>86</v>
      </c>
      <c r="AA43" s="36"/>
      <c r="AB43" s="36"/>
      <c r="AC43" s="36" t="s">
        <v>87</v>
      </c>
      <c r="AD43" s="36">
        <v>109</v>
      </c>
      <c r="AE43" s="36"/>
      <c r="AF43" s="39"/>
      <c r="AG43" s="36"/>
      <c r="AH43" s="36" t="s">
        <v>34</v>
      </c>
      <c r="AI43" s="36" t="s">
        <v>88</v>
      </c>
      <c r="AJ43" s="36" t="s">
        <v>51</v>
      </c>
      <c r="AK43" s="41">
        <f>COUNTIF(Fives[Upgraded By],Fives[[#This Row],[Upgraded By]])</f>
        <v>37</v>
      </c>
      <c r="AL43" s="41" t="str">
        <f>IF(Fives[[#This Row],[Split Credit]]="",Fives[[#This Row],[Upgraded By]],IF(ISNUMBER(FIND(Fives[[#This Row],[Upgraded By]],Fives[[#This Row],[Split Credit]])),Fives[[#This Row],[Split Credit]],Fives[[#This Row],[Upgraded By]]&amp;"; "&amp;Fives[[#This Row],[Split Credit]]))</f>
        <v>Ben MacShane</v>
      </c>
    </row>
    <row r="44" spans="1:38" x14ac:dyDescent="0.8">
      <c r="A44" s="36" t="s">
        <v>89</v>
      </c>
      <c r="B44" s="36" t="s">
        <v>90</v>
      </c>
      <c r="C44" s="36" t="s">
        <v>91</v>
      </c>
      <c r="D44" s="37" t="s">
        <v>152</v>
      </c>
      <c r="E44" s="38" t="s">
        <v>64</v>
      </c>
      <c r="F44" s="36"/>
      <c r="G44" s="36" t="s">
        <v>64</v>
      </c>
      <c r="H44" s="39">
        <v>45354</v>
      </c>
      <c r="I44" s="36" t="s">
        <v>49</v>
      </c>
      <c r="J44" s="36" t="s">
        <v>31</v>
      </c>
      <c r="K44" s="36" t="s">
        <v>32</v>
      </c>
      <c r="L44" s="36"/>
      <c r="M44" s="36"/>
      <c r="N44" s="36" t="s">
        <v>31</v>
      </c>
      <c r="O44" s="36" t="s">
        <v>33</v>
      </c>
      <c r="P44" s="36"/>
      <c r="Q44" s="36">
        <v>0</v>
      </c>
      <c r="R44" s="39">
        <v>45352</v>
      </c>
      <c r="S44" s="36" t="s">
        <v>93</v>
      </c>
      <c r="T44" s="39">
        <v>45352</v>
      </c>
      <c r="U44" s="36" t="s">
        <v>94</v>
      </c>
      <c r="V44" s="40" t="s">
        <v>95</v>
      </c>
      <c r="W44" s="36" t="s">
        <v>96</v>
      </c>
      <c r="X44" s="36" t="s">
        <v>97</v>
      </c>
      <c r="Y44" s="36" t="s">
        <v>98</v>
      </c>
      <c r="Z44" s="36" t="s">
        <v>56</v>
      </c>
      <c r="AA44" s="36"/>
      <c r="AB44" s="36"/>
      <c r="AC44" s="36" t="s">
        <v>99</v>
      </c>
      <c r="AD44" s="36">
        <v>59</v>
      </c>
      <c r="AE44" s="36"/>
      <c r="AF44" s="39"/>
      <c r="AG44" s="36"/>
      <c r="AH44" s="36" t="s">
        <v>34</v>
      </c>
      <c r="AI44" s="36" t="s">
        <v>100</v>
      </c>
      <c r="AJ44" s="36" t="s">
        <v>51</v>
      </c>
      <c r="AK44" s="41">
        <f>COUNTIF(Fives[Upgraded By],Fives[[#This Row],[Upgraded By]])</f>
        <v>37</v>
      </c>
      <c r="AL44" s="41" t="str">
        <f>IF(Fives[[#This Row],[Split Credit]]="",Fives[[#This Row],[Upgraded By]],IF(ISNUMBER(FIND(Fives[[#This Row],[Upgraded By]],Fives[[#This Row],[Split Credit]])),Fives[[#This Row],[Split Credit]],Fives[[#This Row],[Upgraded By]]&amp;"; "&amp;Fives[[#This Row],[Split Credit]]))</f>
        <v>Ben MacShane</v>
      </c>
    </row>
    <row r="45" spans="1:38" x14ac:dyDescent="0.8">
      <c r="A45" s="42" t="s">
        <v>101</v>
      </c>
      <c r="B45" s="42" t="s">
        <v>102</v>
      </c>
      <c r="C45" s="42" t="s">
        <v>103</v>
      </c>
      <c r="D45" s="43" t="s">
        <v>153</v>
      </c>
      <c r="E45" s="44" t="s">
        <v>64</v>
      </c>
      <c r="F45" s="42"/>
      <c r="G45" s="42" t="s">
        <v>64</v>
      </c>
      <c r="H45" s="45">
        <v>45354</v>
      </c>
      <c r="I45" s="42" t="s">
        <v>55</v>
      </c>
      <c r="J45" s="42" t="s">
        <v>31</v>
      </c>
      <c r="K45" s="42" t="s">
        <v>32</v>
      </c>
      <c r="L45" s="42"/>
      <c r="M45" s="42"/>
      <c r="N45" s="42" t="s">
        <v>31</v>
      </c>
      <c r="O45" s="42" t="s">
        <v>33</v>
      </c>
      <c r="P45" s="42"/>
      <c r="Q45" s="42">
        <v>0</v>
      </c>
      <c r="R45" s="45">
        <v>45351</v>
      </c>
      <c r="S45" s="42" t="s">
        <v>105</v>
      </c>
      <c r="T45" s="45">
        <v>45351</v>
      </c>
      <c r="U45" s="42" t="s">
        <v>59</v>
      </c>
      <c r="V45" s="46" t="s">
        <v>106</v>
      </c>
      <c r="W45" s="42" t="s">
        <v>107</v>
      </c>
      <c r="X45" s="42" t="s">
        <v>108</v>
      </c>
      <c r="Y45" s="42" t="s">
        <v>109</v>
      </c>
      <c r="Z45" s="42" t="s">
        <v>58</v>
      </c>
      <c r="AA45" s="42"/>
      <c r="AB45" s="42"/>
      <c r="AC45" s="42" t="s">
        <v>110</v>
      </c>
      <c r="AD45" s="42">
        <v>104</v>
      </c>
      <c r="AE45" s="42"/>
      <c r="AF45" s="45"/>
      <c r="AG45" s="42"/>
      <c r="AH45" s="42" t="s">
        <v>34</v>
      </c>
      <c r="AI45" s="42" t="s">
        <v>111</v>
      </c>
      <c r="AJ45" s="42" t="s">
        <v>51</v>
      </c>
      <c r="AK45" s="47">
        <f>COUNTIF(Fives[Upgraded By],Fives[[#This Row],[Upgraded By]])</f>
        <v>37</v>
      </c>
      <c r="AL45" s="47" t="str">
        <f>IF(Fives[[#This Row],[Split Credit]]="",Fives[[#This Row],[Upgraded By]],IF(ISNUMBER(FIND(Fives[[#This Row],[Upgraded By]],Fives[[#This Row],[Split Credit]])),Fives[[#This Row],[Split Credit]],Fives[[#This Row],[Upgraded By]]&amp;"; "&amp;Fives[[#This Row],[Split Credit]]))</f>
        <v>Ben MacShane</v>
      </c>
    </row>
    <row r="46" spans="1:38" x14ac:dyDescent="0.8">
      <c r="A46" s="36" t="s">
        <v>60</v>
      </c>
      <c r="B46" s="36" t="s">
        <v>61</v>
      </c>
      <c r="C46" s="36" t="s">
        <v>62</v>
      </c>
      <c r="D46" s="37" t="s">
        <v>154</v>
      </c>
      <c r="E46" s="38" t="s">
        <v>64</v>
      </c>
      <c r="F46" s="36"/>
      <c r="G46" s="36" t="s">
        <v>64</v>
      </c>
      <c r="H46" s="39">
        <v>45348</v>
      </c>
      <c r="I46" s="36" t="s">
        <v>55</v>
      </c>
      <c r="J46" s="36" t="s">
        <v>31</v>
      </c>
      <c r="K46" s="36" t="s">
        <v>32</v>
      </c>
      <c r="L46" s="36"/>
      <c r="M46" s="36"/>
      <c r="N46" s="36" t="s">
        <v>31</v>
      </c>
      <c r="O46" s="36" t="s">
        <v>33</v>
      </c>
      <c r="P46" s="36"/>
      <c r="Q46" s="36">
        <v>0</v>
      </c>
      <c r="R46" s="39">
        <v>45348</v>
      </c>
      <c r="S46" s="36" t="s">
        <v>65</v>
      </c>
      <c r="T46" s="39">
        <v>45348</v>
      </c>
      <c r="U46" s="36" t="s">
        <v>66</v>
      </c>
      <c r="V46" s="40" t="s">
        <v>67</v>
      </c>
      <c r="W46" s="36" t="s">
        <v>68</v>
      </c>
      <c r="X46" s="36" t="s">
        <v>69</v>
      </c>
      <c r="Y46" s="36" t="s">
        <v>70</v>
      </c>
      <c r="Z46" s="36" t="s">
        <v>71</v>
      </c>
      <c r="AA46" s="36" t="s">
        <v>72</v>
      </c>
      <c r="AB46" s="36"/>
      <c r="AC46" s="36" t="s">
        <v>73</v>
      </c>
      <c r="AD46" s="36">
        <v>93</v>
      </c>
      <c r="AE46" s="36">
        <v>0</v>
      </c>
      <c r="AF46" s="39">
        <v>44593</v>
      </c>
      <c r="AG46" s="36">
        <v>400000</v>
      </c>
      <c r="AH46" s="36" t="s">
        <v>57</v>
      </c>
      <c r="AI46" s="36" t="s">
        <v>74</v>
      </c>
      <c r="AJ46" s="36" t="s">
        <v>51</v>
      </c>
      <c r="AK46" s="41">
        <f>COUNTIF(Fives[Upgraded By],Fives[[#This Row],[Upgraded By]])</f>
        <v>37</v>
      </c>
      <c r="AL46" s="41" t="str">
        <f>IF(Fives[[#This Row],[Split Credit]]="",Fives[[#This Row],[Upgraded By]],IF(ISNUMBER(FIND(Fives[[#This Row],[Upgraded By]],Fives[[#This Row],[Split Credit]])),Fives[[#This Row],[Split Credit]],Fives[[#This Row],[Upgraded By]]&amp;"; "&amp;Fives[[#This Row],[Split Credit]]))</f>
        <v>Ben MacShane</v>
      </c>
    </row>
    <row r="47" spans="1:38" x14ac:dyDescent="0.8">
      <c r="A47" s="36" t="s">
        <v>75</v>
      </c>
      <c r="B47" s="36" t="s">
        <v>76</v>
      </c>
      <c r="C47" s="36" t="s">
        <v>77</v>
      </c>
      <c r="D47" s="37" t="s">
        <v>155</v>
      </c>
      <c r="E47" s="38" t="s">
        <v>79</v>
      </c>
      <c r="F47" s="36"/>
      <c r="G47" s="36" t="s">
        <v>64</v>
      </c>
      <c r="H47" s="39">
        <v>45350</v>
      </c>
      <c r="I47" s="36" t="s">
        <v>49</v>
      </c>
      <c r="J47" s="36" t="s">
        <v>31</v>
      </c>
      <c r="K47" s="36" t="s">
        <v>32</v>
      </c>
      <c r="L47" s="36"/>
      <c r="M47" s="36"/>
      <c r="N47" s="36" t="s">
        <v>31</v>
      </c>
      <c r="O47" s="36" t="s">
        <v>33</v>
      </c>
      <c r="P47" s="36"/>
      <c r="Q47" s="36">
        <v>0</v>
      </c>
      <c r="R47" s="39">
        <v>45350</v>
      </c>
      <c r="S47" s="36" t="s">
        <v>80</v>
      </c>
      <c r="T47" s="39">
        <v>45350</v>
      </c>
      <c r="U47" s="36" t="s">
        <v>81</v>
      </c>
      <c r="V47" s="40" t="s">
        <v>82</v>
      </c>
      <c r="W47" s="36" t="s">
        <v>83</v>
      </c>
      <c r="X47" s="36" t="s">
        <v>84</v>
      </c>
      <c r="Y47" s="36" t="s">
        <v>85</v>
      </c>
      <c r="Z47" s="36" t="s">
        <v>86</v>
      </c>
      <c r="AA47" s="36"/>
      <c r="AB47" s="36"/>
      <c r="AC47" s="36" t="s">
        <v>87</v>
      </c>
      <c r="AD47" s="36">
        <v>109</v>
      </c>
      <c r="AE47" s="36"/>
      <c r="AF47" s="39"/>
      <c r="AG47" s="36"/>
      <c r="AH47" s="36" t="s">
        <v>34</v>
      </c>
      <c r="AI47" s="36" t="s">
        <v>88</v>
      </c>
      <c r="AJ47" s="36" t="s">
        <v>51</v>
      </c>
      <c r="AK47" s="41">
        <f>COUNTIF(Fives[Upgraded By],Fives[[#This Row],[Upgraded By]])</f>
        <v>37</v>
      </c>
      <c r="AL47" s="41" t="str">
        <f>IF(Fives[[#This Row],[Split Credit]]="",Fives[[#This Row],[Upgraded By]],IF(ISNUMBER(FIND(Fives[[#This Row],[Upgraded By]],Fives[[#This Row],[Split Credit]])),Fives[[#This Row],[Split Credit]],Fives[[#This Row],[Upgraded By]]&amp;"; "&amp;Fives[[#This Row],[Split Credit]]))</f>
        <v>Ben MacShane</v>
      </c>
    </row>
    <row r="48" spans="1:38" x14ac:dyDescent="0.8">
      <c r="A48" s="36" t="s">
        <v>89</v>
      </c>
      <c r="B48" s="36" t="s">
        <v>90</v>
      </c>
      <c r="C48" s="36" t="s">
        <v>91</v>
      </c>
      <c r="D48" s="37" t="s">
        <v>156</v>
      </c>
      <c r="E48" s="38" t="s">
        <v>64</v>
      </c>
      <c r="F48" s="36"/>
      <c r="G48" s="36" t="s">
        <v>64</v>
      </c>
      <c r="H48" s="39">
        <v>45354</v>
      </c>
      <c r="I48" s="36" t="s">
        <v>49</v>
      </c>
      <c r="J48" s="36" t="s">
        <v>31</v>
      </c>
      <c r="K48" s="36" t="s">
        <v>32</v>
      </c>
      <c r="L48" s="36"/>
      <c r="M48" s="36"/>
      <c r="N48" s="36" t="s">
        <v>31</v>
      </c>
      <c r="O48" s="36" t="s">
        <v>33</v>
      </c>
      <c r="P48" s="36"/>
      <c r="Q48" s="36">
        <v>0</v>
      </c>
      <c r="R48" s="39">
        <v>45352</v>
      </c>
      <c r="S48" s="36" t="s">
        <v>93</v>
      </c>
      <c r="T48" s="39">
        <v>45352</v>
      </c>
      <c r="U48" s="36" t="s">
        <v>94</v>
      </c>
      <c r="V48" s="40" t="s">
        <v>95</v>
      </c>
      <c r="W48" s="36" t="s">
        <v>96</v>
      </c>
      <c r="X48" s="36" t="s">
        <v>97</v>
      </c>
      <c r="Y48" s="36" t="s">
        <v>98</v>
      </c>
      <c r="Z48" s="36" t="s">
        <v>56</v>
      </c>
      <c r="AA48" s="36"/>
      <c r="AB48" s="36"/>
      <c r="AC48" s="36" t="s">
        <v>99</v>
      </c>
      <c r="AD48" s="36">
        <v>59</v>
      </c>
      <c r="AE48" s="36"/>
      <c r="AF48" s="39"/>
      <c r="AG48" s="36"/>
      <c r="AH48" s="36" t="s">
        <v>34</v>
      </c>
      <c r="AI48" s="36" t="s">
        <v>100</v>
      </c>
      <c r="AJ48" s="36" t="s">
        <v>51</v>
      </c>
      <c r="AK48" s="41">
        <f>COUNTIF(Fives[Upgraded By],Fives[[#This Row],[Upgraded By]])</f>
        <v>37</v>
      </c>
      <c r="AL48" s="41" t="str">
        <f>IF(Fives[[#This Row],[Split Credit]]="",Fives[[#This Row],[Upgraded By]],IF(ISNUMBER(FIND(Fives[[#This Row],[Upgraded By]],Fives[[#This Row],[Split Credit]])),Fives[[#This Row],[Split Credit]],Fives[[#This Row],[Upgraded By]]&amp;"; "&amp;Fives[[#This Row],[Split Credit]]))</f>
        <v>Ben MacShane</v>
      </c>
    </row>
    <row r="49" spans="1:38" x14ac:dyDescent="0.8">
      <c r="A49" s="42" t="s">
        <v>101</v>
      </c>
      <c r="B49" s="42" t="s">
        <v>102</v>
      </c>
      <c r="C49" s="42" t="s">
        <v>103</v>
      </c>
      <c r="D49" s="43" t="s">
        <v>157</v>
      </c>
      <c r="E49" s="44" t="s">
        <v>64</v>
      </c>
      <c r="F49" s="42"/>
      <c r="G49" s="42" t="s">
        <v>64</v>
      </c>
      <c r="H49" s="45">
        <v>45354</v>
      </c>
      <c r="I49" s="42" t="s">
        <v>55</v>
      </c>
      <c r="J49" s="42" t="s">
        <v>31</v>
      </c>
      <c r="K49" s="42" t="s">
        <v>32</v>
      </c>
      <c r="L49" s="42"/>
      <c r="M49" s="42"/>
      <c r="N49" s="42" t="s">
        <v>31</v>
      </c>
      <c r="O49" s="42" t="s">
        <v>33</v>
      </c>
      <c r="P49" s="42"/>
      <c r="Q49" s="42">
        <v>0</v>
      </c>
      <c r="R49" s="45">
        <v>45351</v>
      </c>
      <c r="S49" s="42" t="s">
        <v>105</v>
      </c>
      <c r="T49" s="45">
        <v>45351</v>
      </c>
      <c r="U49" s="42" t="s">
        <v>59</v>
      </c>
      <c r="V49" s="46" t="s">
        <v>106</v>
      </c>
      <c r="W49" s="42" t="s">
        <v>107</v>
      </c>
      <c r="X49" s="42" t="s">
        <v>108</v>
      </c>
      <c r="Y49" s="42" t="s">
        <v>109</v>
      </c>
      <c r="Z49" s="42" t="s">
        <v>58</v>
      </c>
      <c r="AA49" s="42"/>
      <c r="AB49" s="42"/>
      <c r="AC49" s="42" t="s">
        <v>110</v>
      </c>
      <c r="AD49" s="42">
        <v>104</v>
      </c>
      <c r="AE49" s="42"/>
      <c r="AF49" s="45"/>
      <c r="AG49" s="42"/>
      <c r="AH49" s="42" t="s">
        <v>34</v>
      </c>
      <c r="AI49" s="42" t="s">
        <v>111</v>
      </c>
      <c r="AJ49" s="42" t="s">
        <v>51</v>
      </c>
      <c r="AK49" s="47">
        <f>COUNTIF(Fives[Upgraded By],Fives[[#This Row],[Upgraded By]])</f>
        <v>37</v>
      </c>
      <c r="AL49" s="47" t="str">
        <f>IF(Fives[[#This Row],[Split Credit]]="",Fives[[#This Row],[Upgraded By]],IF(ISNUMBER(FIND(Fives[[#This Row],[Upgraded By]],Fives[[#This Row],[Split Credit]])),Fives[[#This Row],[Split Credit]],Fives[[#This Row],[Upgraded By]]&amp;"; "&amp;Fives[[#This Row],[Split Credit]]))</f>
        <v>Ben MacShane</v>
      </c>
    </row>
  </sheetData>
  <pageMargins left="0.75" right="0.75" top="1" bottom="1" header="0.5" footer="0.5"/>
  <pageSetup orientation="portrait" horizontalDpi="0" verticalDpi="0"/>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F52D9-41A2-467E-A46C-752F80F59DFE}">
  <sheetPr codeName="Sheet31"/>
  <dimension ref="A1"/>
  <sheetViews>
    <sheetView workbookViewId="0">
      <selection activeCell="G20" sqref="G20"/>
    </sheetView>
  </sheetViews>
  <sheetFormatPr defaultRowHeight="16" x14ac:dyDescent="0.8"/>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Cover</vt:lpstr>
      <vt:lpstr>Delaget</vt:lpstr>
      <vt:lpstr>Main</vt:lpstr>
      <vt:lpstr>Data</vt:lpstr>
      <vt:lpstr>Sheet390</vt:lpstr>
      <vt:lpstr>Cover!Print_Area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mk</dc:creator>
  <cp:lastModifiedBy>Leo Gretzinger</cp:lastModifiedBy>
  <cp:lastPrinted>2023-09-20T22:12:16Z</cp:lastPrinted>
  <dcterms:created xsi:type="dcterms:W3CDTF">2023-09-20T20:22:48Z</dcterms:created>
  <dcterms:modified xsi:type="dcterms:W3CDTF">2024-03-26T15:35:19Z</dcterms:modified>
</cp:coreProperties>
</file>