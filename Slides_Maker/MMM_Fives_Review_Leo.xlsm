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9.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3.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15.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16.xml" ContentType="application/vnd.openxmlformats-officedocument.drawing+xml"/>
  <Override PartName="/xl/ctrlProps/ctrlProp29.xml" ContentType="application/vnd.ms-excel.controlproperties+xml"/>
  <Override PartName="/xl/ctrlProps/ctrlProp30.xml" ContentType="application/vnd.ms-excel.controlproperties+xml"/>
  <Override PartName="/xl/drawings/drawing17.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18.xml" ContentType="application/vnd.openxmlformats-officedocument.drawing+xml"/>
  <Override PartName="/xl/ctrlProps/ctrlProp33.xml" ContentType="application/vnd.ms-excel.controlproperties+xml"/>
  <Override PartName="/xl/ctrlProps/ctrlProp34.xml" ContentType="application/vnd.ms-excel.controlproperties+xml"/>
  <Override PartName="/xl/drawings/drawing19.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20.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21.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22.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23.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24.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25.xml" ContentType="application/vnd.openxmlformats-officedocument.drawing+xml"/>
  <Override PartName="/xl/ctrlProps/ctrlProp47.xml" ContentType="application/vnd.ms-excel.controlproperties+xml"/>
  <Override PartName="/xl/ctrlProps/ctrlProp48.xml" ContentType="application/vnd.ms-excel.controlproperties+xml"/>
  <Override PartName="/xl/drawings/drawing26.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27.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28.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29.xml" ContentType="application/vnd.openxmlformats-officedocument.drawing+xml"/>
  <Override PartName="/xl/ctrlProps/ctrlProp55.xml" ContentType="application/vnd.ms-excel.controlproperties+xml"/>
  <Override PartName="/xl/ctrlProps/ctrlProp56.xml" ContentType="application/vnd.ms-excel.controlproperties+xml"/>
  <Override PartName="/xl/drawings/drawing30.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31.xml" ContentType="application/vnd.openxmlformats-officedocument.drawing+xml"/>
  <Override PartName="/xl/ctrlProps/ctrlProp59.xml" ContentType="application/vnd.ms-excel.controlproperties+xml"/>
  <Override PartName="/xl/ctrlProps/ctrlProp60.xml" ContentType="application/vnd.ms-excel.controlproperties+xml"/>
  <Override PartName="/xl/drawings/drawing32.xml" ContentType="application/vnd.openxmlformats-officedocument.drawing+xml"/>
  <Override PartName="/xl/ctrlProps/ctrlProp61.xml" ContentType="application/vnd.ms-excel.controlproperties+xml"/>
  <Override PartName="/xl/ctrlProps/ctrlProp62.xml" ContentType="application/vnd.ms-excel.controlproperties+xml"/>
  <Override PartName="/xl/drawings/drawing33.xml" ContentType="application/vnd.openxmlformats-officedocument.drawing+xml"/>
  <Override PartName="/xl/ctrlProps/ctrlProp63.xml" ContentType="application/vnd.ms-excel.controlproperties+xml"/>
  <Override PartName="/xl/ctrlProps/ctrlProp64.xml" ContentType="application/vnd.ms-excel.controlproperties+xml"/>
  <Override PartName="/xl/drawings/drawing34.xml" ContentType="application/vnd.openxmlformats-officedocument.drawing+xml"/>
  <Override PartName="/xl/ctrlProps/ctrlProp65.xml" ContentType="application/vnd.ms-excel.controlproperties+xml"/>
  <Override PartName="/xl/ctrlProps/ctrlProp66.xml" ContentType="application/vnd.ms-excel.controlproperties+xml"/>
  <Override PartName="/xl/drawings/drawing35.xml" ContentType="application/vnd.openxmlformats-officedocument.drawing+xml"/>
  <Override PartName="/xl/ctrlProps/ctrlProp67.xml" ContentType="application/vnd.ms-excel.controlproperties+xml"/>
  <Override PartName="/xl/ctrlProps/ctrlProp68.xml" ContentType="application/vnd.ms-excel.controlproperties+xml"/>
  <Override PartName="/xl/drawings/drawing36.xml" ContentType="application/vnd.openxmlformats-officedocument.drawing+xml"/>
  <Override PartName="/xl/ctrlProps/ctrlProp69.xml" ContentType="application/vnd.ms-excel.controlproperties+xml"/>
  <Override PartName="/xl/ctrlProps/ctrlProp70.xml" ContentType="application/vnd.ms-excel.controlproperties+xml"/>
  <Override PartName="/xl/drawings/drawing37.xml" ContentType="application/vnd.openxmlformats-officedocument.drawing+xml"/>
  <Override PartName="/xl/ctrlProps/ctrlProp71.xml" ContentType="application/vnd.ms-excel.controlproperties+xml"/>
  <Override PartName="/xl/ctrlProps/ctrlProp72.xml" ContentType="application/vnd.ms-excel.controlproperties+xml"/>
  <Override PartName="/xl/drawings/drawing38.xml" ContentType="application/vnd.openxmlformats-officedocument.drawing+xml"/>
  <Override PartName="/xl/ctrlProps/ctrlProp73.xml" ContentType="application/vnd.ms-excel.controlproperties+xml"/>
  <Override PartName="/xl/ctrlProps/ctrlProp74.xml" ContentType="application/vnd.ms-excel.controlproperties+xml"/>
  <Override PartName="/xl/drawings/drawing39.xml" ContentType="application/vnd.openxmlformats-officedocument.drawing+xml"/>
  <Override PartName="/xl/ctrlProps/ctrlProp75.xml" ContentType="application/vnd.ms-excel.controlproperties+xml"/>
  <Override PartName="/xl/ctrlProps/ctrlProp76.xml" ContentType="application/vnd.ms-excel.controlproperties+xml"/>
  <Override PartName="/xl/drawings/drawing40.xml" ContentType="application/vnd.openxmlformats-officedocument.drawing+xml"/>
  <Override PartName="/xl/ctrlProps/ctrlProp77.xml" ContentType="application/vnd.ms-excel.controlproperties+xml"/>
  <Override PartName="/xl/ctrlProps/ctrlProp78.xml" ContentType="application/vnd.ms-excel.controlproperties+xml"/>
  <Override PartName="/xl/drawings/drawing41.xml" ContentType="application/vnd.openxmlformats-officedocument.drawing+xml"/>
  <Override PartName="/xl/ctrlProps/ctrlProp79.xml" ContentType="application/vnd.ms-excel.controlproperties+xml"/>
  <Override PartName="/xl/ctrlProps/ctrlProp80.xml" ContentType="application/vnd.ms-excel.controlproperties+xml"/>
  <Override PartName="/xl/drawings/drawing42.xml" ContentType="application/vnd.openxmlformats-officedocument.drawing+xml"/>
  <Override PartName="/xl/ctrlProps/ctrlProp81.xml" ContentType="application/vnd.ms-excel.controlproperties+xml"/>
  <Override PartName="/xl/ctrlProps/ctrlProp82.xml" ContentType="application/vnd.ms-excel.controlproperties+xml"/>
  <Override PartName="/xl/drawings/drawing43.xml" ContentType="application/vnd.openxmlformats-officedocument.drawing+xml"/>
  <Override PartName="/xl/ctrlProps/ctrlProp83.xml" ContentType="application/vnd.ms-excel.controlproperties+xml"/>
  <Override PartName="/xl/ctrlProps/ctrlProp84.xml" ContentType="application/vnd.ms-excel.controlproperties+xml"/>
  <Override PartName="/xl/drawings/drawing44.xml" ContentType="application/vnd.openxmlformats-officedocument.drawing+xml"/>
  <Override PartName="/xl/ctrlProps/ctrlProp85.xml" ContentType="application/vnd.ms-excel.controlproperties+xml"/>
  <Override PartName="/xl/ctrlProps/ctrlProp86.xml" ContentType="application/vnd.ms-excel.controlproperties+xml"/>
  <Override PartName="/xl/drawings/drawing45.xml" ContentType="application/vnd.openxmlformats-officedocument.drawing+xml"/>
  <Override PartName="/xl/ctrlProps/ctrlProp87.xml" ContentType="application/vnd.ms-excel.controlproperties+xml"/>
  <Override PartName="/xl/ctrlProps/ctrlProp88.xml" ContentType="application/vnd.ms-excel.controlproperties+xml"/>
  <Override PartName="/xl/drawings/drawing46.xml" ContentType="application/vnd.openxmlformats-officedocument.drawing+xml"/>
  <Override PartName="/xl/ctrlProps/ctrlProp89.xml" ContentType="application/vnd.ms-excel.controlproperties+xml"/>
  <Override PartName="/xl/ctrlProps/ctrlProp90.xml" ContentType="application/vnd.ms-excel.controlproperties+xml"/>
  <Override PartName="/xl/drawings/drawing47.xml" ContentType="application/vnd.openxmlformats-officedocument.drawing+xml"/>
  <Override PartName="/xl/ctrlProps/ctrlProp91.xml" ContentType="application/vnd.ms-excel.controlproperties+xml"/>
  <Override PartName="/xl/ctrlProps/ctrlProp92.xml" ContentType="application/vnd.ms-excel.controlproperties+xml"/>
  <Override PartName="/xl/drawings/drawing48.xml" ContentType="application/vnd.openxmlformats-officedocument.drawing+xml"/>
  <Override PartName="/xl/ctrlProps/ctrlProp93.xml" ContentType="application/vnd.ms-excel.controlproperties+xml"/>
  <Override PartName="/xl/ctrlProps/ctrlProp94.xml" ContentType="application/vnd.ms-excel.controlproperties+xml"/>
  <Override PartName="/xl/drawings/drawing49.xml" ContentType="application/vnd.openxmlformats-officedocument.drawing+xml"/>
  <Override PartName="/xl/ctrlProps/ctrlProp95.xml" ContentType="application/vnd.ms-excel.controlproperties+xml"/>
  <Override PartName="/xl/ctrlProps/ctrlProp96.xml" ContentType="application/vnd.ms-excel.controlproperties+xml"/>
  <Override PartName="/xl/drawings/drawing50.xml" ContentType="application/vnd.openxmlformats-officedocument.drawing+xml"/>
  <Override PartName="/xl/ctrlProps/ctrlProp97.xml" ContentType="application/vnd.ms-excel.controlproperties+xml"/>
  <Override PartName="/xl/ctrlProps/ctrlProp98.xml" ContentType="application/vnd.ms-excel.controlproperties+xml"/>
  <Override PartName="/xl/drawings/drawing5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leogr\OneDrive\Documents\Sagemount\Slides_Maker\"/>
    </mc:Choice>
  </mc:AlternateContent>
  <xr:revisionPtr revIDLastSave="0" documentId="13_ncr:1_{63686999-F67F-4E1F-A0B7-B957462BBE02}" xr6:coauthVersionLast="47" xr6:coauthVersionMax="47" xr10:uidLastSave="{00000000-0000-0000-0000-000000000000}"/>
  <bookViews>
    <workbookView xWindow="-90" yWindow="-90" windowWidth="19380" windowHeight="10260" firstSheet="1" activeTab="1" xr2:uid="{00000000-000D-0000-FFFF-FFFF00000000}"/>
  </bookViews>
  <sheets>
    <sheet name="Cover" sheetId="4" state="hidden" r:id="rId1"/>
    <sheet name="Smarty12" sheetId="642" r:id="rId2"/>
    <sheet name="HeroDevs12" sheetId="641" r:id="rId3"/>
    <sheet name="CCR12" sheetId="640" r:id="rId4"/>
    <sheet name="Delaget12" sheetId="639" r:id="rId5"/>
    <sheet name="Smarty11" sheetId="638" r:id="rId6"/>
    <sheet name="HeroDevs11" sheetId="637" r:id="rId7"/>
    <sheet name="CCR11" sheetId="636" r:id="rId8"/>
    <sheet name="Delaget11" sheetId="635" r:id="rId9"/>
    <sheet name="Smarty10" sheetId="634" r:id="rId10"/>
    <sheet name="HeroDevs10" sheetId="633" r:id="rId11"/>
    <sheet name="CCR10" sheetId="632" r:id="rId12"/>
    <sheet name="Delaget10" sheetId="631" r:id="rId13"/>
    <sheet name="Smarty9" sheetId="630" r:id="rId14"/>
    <sheet name="HeroDevs9" sheetId="629" r:id="rId15"/>
    <sheet name="CCR9" sheetId="628" r:id="rId16"/>
    <sheet name="Delaget9" sheetId="627" r:id="rId17"/>
    <sheet name="Smarty8" sheetId="626" r:id="rId18"/>
    <sheet name="HeroDevs8" sheetId="625" r:id="rId19"/>
    <sheet name="CCR8" sheetId="624" r:id="rId20"/>
    <sheet name="Delaget8" sheetId="623" r:id="rId21"/>
    <sheet name="Smarty7" sheetId="622" r:id="rId22"/>
    <sheet name="HeroDevs7" sheetId="621" r:id="rId23"/>
    <sheet name="CCR7" sheetId="620" r:id="rId24"/>
    <sheet name="Delaget7" sheetId="619" r:id="rId25"/>
    <sheet name="Smarty6" sheetId="618" r:id="rId26"/>
    <sheet name="HeroDevs6" sheetId="617" r:id="rId27"/>
    <sheet name="CCR6" sheetId="616" r:id="rId28"/>
    <sheet name="Delaget6" sheetId="615" r:id="rId29"/>
    <sheet name="Smarty5" sheetId="614" r:id="rId30"/>
    <sheet name="HeroDevs5" sheetId="613" r:id="rId31"/>
    <sheet name="CCR5" sheetId="612" r:id="rId32"/>
    <sheet name="Delaget5" sheetId="611" r:id="rId33"/>
    <sheet name="Smarty4" sheetId="610" r:id="rId34"/>
    <sheet name="HeroDevs4" sheetId="609" r:id="rId35"/>
    <sheet name="CCR4" sheetId="608" r:id="rId36"/>
    <sheet name="Delaget4" sheetId="607" r:id="rId37"/>
    <sheet name="Smarty3" sheetId="606" r:id="rId38"/>
    <sheet name="HeroDevs3" sheetId="605" r:id="rId39"/>
    <sheet name="CCR3" sheetId="604" r:id="rId40"/>
    <sheet name="Delaget3" sheetId="603" r:id="rId41"/>
    <sheet name="Smarty2" sheetId="602" r:id="rId42"/>
    <sheet name="HeroDevs2" sheetId="601" r:id="rId43"/>
    <sheet name="CCR2" sheetId="600" r:id="rId44"/>
    <sheet name="Delaget2" sheetId="599" r:id="rId45"/>
    <sheet name="Smarty" sheetId="598" r:id="rId46"/>
    <sheet name="HeroDevs" sheetId="597" r:id="rId47"/>
    <sheet name="CCR" sheetId="596" r:id="rId48"/>
    <sheet name="Delaget" sheetId="595" r:id="rId49"/>
    <sheet name="Main" sheetId="3" r:id="rId50"/>
    <sheet name="Data" sheetId="1" r:id="rId51"/>
    <sheet name="Sheet390" sheetId="449" r:id="rId52"/>
  </sheets>
  <functionGroups builtInGroupCount="19"/>
  <definedNames>
    <definedName name="CIQWBGuid" hidden="1">"25295fb0-50ac-4404-a9d3-b1d6b5fb4d4b"</definedName>
    <definedName name="COMPANY_NAME">#REF!</definedName>
    <definedName name="CURRENCY">#REF!</definedName>
    <definedName name="DISPLAY_UNITS">#REF!</definedName>
    <definedName name="FISCAL_YEAR">#REF!</definedName>
    <definedName name="FISCAL_YEAR_END">#REF!</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43679.8080902778</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L3M_CURRENT_END">#REF!</definedName>
    <definedName name="L3M_PREV_END">#REF!</definedName>
    <definedName name="L3M_PREVYR_END">#REF!</definedName>
    <definedName name="L6M_CURRENT_END">#REF!</definedName>
    <definedName name="L6M_PREV_END">#REF!</definedName>
    <definedName name="L6M_PREVYR_END">#REF!</definedName>
    <definedName name="LTM_CURRENT_END">#REF!</definedName>
    <definedName name="LTM_PREV_END">#REF!</definedName>
    <definedName name="MONTH_CURRENT">#REF!</definedName>
    <definedName name="MONTH_CURRENT_END">#REF!</definedName>
    <definedName name="MONTH_PREV_END">#REF!</definedName>
    <definedName name="MONTH_PREVYR_END">#REF!</definedName>
    <definedName name="_xlnm.Print_Area" localSheetId="0">Cover!$B$2:$D$12</definedName>
    <definedName name="QTR_CURRENT_BEG">#REF!</definedName>
    <definedName name="QTR_CURRENT_END">#REF!</definedName>
    <definedName name="QTR_PREV_END">#REF!</definedName>
    <definedName name="QTR_PREVYR_END">#REF!</definedName>
    <definedName name="YEAR_CURRENT_BEG">#REF!</definedName>
    <definedName name="YEAR_CURRENT_END">#REF!</definedName>
    <definedName name="YEAR_PREV_END">#REF!</definedName>
    <definedName name="YTD_CURRENT_BEG">#REF!</definedName>
    <definedName name="YTD_CURRENT_EN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642" l="1"/>
  <c r="M1" i="642" s="1"/>
  <c r="K1" i="641"/>
  <c r="M1" i="641" s="1"/>
  <c r="K1" i="640"/>
  <c r="M1" i="640" s="1"/>
  <c r="K1" i="639"/>
  <c r="M1" i="639" s="1"/>
  <c r="K1" i="638"/>
  <c r="M1" i="638" s="1"/>
  <c r="K1" i="637"/>
  <c r="M1" i="637" s="1"/>
  <c r="K1" i="636"/>
  <c r="M1" i="636" s="1"/>
  <c r="K1" i="635"/>
  <c r="M1" i="635" s="1"/>
  <c r="K1" i="634"/>
  <c r="M1" i="634" s="1"/>
  <c r="K1" i="633"/>
  <c r="M1" i="633" s="1"/>
  <c r="K1" i="632"/>
  <c r="M1" i="632" s="1"/>
  <c r="K1" i="631"/>
  <c r="M1" i="631" s="1"/>
  <c r="K1" i="630"/>
  <c r="M1" i="630" s="1"/>
  <c r="K1" i="629"/>
  <c r="M1" i="629" s="1"/>
  <c r="K1" i="628"/>
  <c r="M1" i="628" s="1"/>
  <c r="K1" i="627"/>
  <c r="M1" i="627" s="1"/>
  <c r="K1" i="626"/>
  <c r="M1" i="626" s="1"/>
  <c r="K1" i="625"/>
  <c r="M1" i="625" s="1"/>
  <c r="K1" i="624"/>
  <c r="M1" i="624" s="1"/>
  <c r="K1" i="623"/>
  <c r="M1" i="623" s="1"/>
  <c r="K1" i="622"/>
  <c r="M1" i="622" s="1"/>
  <c r="K1" i="621"/>
  <c r="M1" i="621" s="1"/>
  <c r="K1" i="620"/>
  <c r="M1" i="620" s="1"/>
  <c r="K1" i="619"/>
  <c r="M1" i="619" s="1"/>
  <c r="K1" i="618"/>
  <c r="M1" i="618" s="1"/>
  <c r="K1" i="617"/>
  <c r="M1" i="617" s="1"/>
  <c r="K1" i="616"/>
  <c r="M1" i="616" s="1"/>
  <c r="K1" i="615"/>
  <c r="M1" i="615" s="1"/>
  <c r="K1" i="614"/>
  <c r="M1" i="614" s="1"/>
  <c r="K1" i="613"/>
  <c r="M1" i="613" s="1"/>
  <c r="K1" i="612"/>
  <c r="M1" i="612" s="1"/>
  <c r="K1" i="611"/>
  <c r="M1" i="611" s="1"/>
  <c r="K1" i="610"/>
  <c r="M1" i="610" s="1"/>
  <c r="K1" i="609"/>
  <c r="M1" i="609" s="1"/>
  <c r="K1" i="608"/>
  <c r="M1" i="608" s="1"/>
  <c r="K1" i="607"/>
  <c r="M1" i="607" s="1"/>
  <c r="K1" i="606"/>
  <c r="M1" i="606" s="1"/>
  <c r="K1" i="605"/>
  <c r="M1" i="605" s="1"/>
  <c r="K1" i="604"/>
  <c r="M1" i="604" s="1"/>
  <c r="K1" i="603"/>
  <c r="M1" i="603" s="1"/>
  <c r="K1" i="602"/>
  <c r="M1" i="602" s="1"/>
  <c r="K1" i="601"/>
  <c r="M1" i="601" s="1"/>
  <c r="K1" i="600"/>
  <c r="M1" i="600" s="1"/>
  <c r="K1" i="599"/>
  <c r="M1" i="599" s="1"/>
  <c r="K1" i="598"/>
  <c r="M1" i="598" s="1"/>
  <c r="K1" i="597"/>
  <c r="M1" i="597" s="1"/>
  <c r="K1" i="596"/>
  <c r="M1" i="596" s="1"/>
  <c r="K1" i="595"/>
  <c r="M1" i="595" s="1"/>
  <c r="AL49" i="1"/>
  <c r="AK49" i="1"/>
  <c r="AL48" i="1"/>
  <c r="AK48" i="1"/>
  <c r="AL47" i="1"/>
  <c r="AK47" i="1"/>
  <c r="AL46" i="1"/>
  <c r="AK46" i="1"/>
  <c r="AL45" i="1"/>
  <c r="AK45" i="1"/>
  <c r="AL44" i="1"/>
  <c r="AK44" i="1"/>
  <c r="AL43" i="1"/>
  <c r="AK43" i="1"/>
  <c r="AL42" i="1"/>
  <c r="AK42" i="1"/>
  <c r="AL41" i="1"/>
  <c r="AK41" i="1"/>
  <c r="AL40" i="1"/>
  <c r="AK40" i="1"/>
  <c r="AL39" i="1"/>
  <c r="AK39" i="1"/>
  <c r="AL38" i="1"/>
  <c r="AK38" i="1"/>
  <c r="AL37" i="1"/>
  <c r="AK37" i="1"/>
  <c r="AL36" i="1"/>
  <c r="AK36" i="1"/>
  <c r="AL35" i="1"/>
  <c r="AK35" i="1"/>
  <c r="AL34" i="1"/>
  <c r="AK34" i="1"/>
  <c r="AL33" i="1"/>
  <c r="AK33" i="1"/>
  <c r="AL32" i="1"/>
  <c r="AK32" i="1"/>
  <c r="AL31" i="1"/>
  <c r="AK31" i="1"/>
  <c r="AL30" i="1"/>
  <c r="AK30" i="1"/>
  <c r="AL29" i="1"/>
  <c r="AK29" i="1"/>
  <c r="AL28" i="1"/>
  <c r="AK28" i="1"/>
  <c r="AL27" i="1"/>
  <c r="AK27" i="1"/>
  <c r="AL26" i="1"/>
  <c r="AK26" i="1"/>
  <c r="AL25" i="1"/>
  <c r="AK25" i="1"/>
  <c r="AL24" i="1"/>
  <c r="AK24" i="1"/>
  <c r="AL23" i="1"/>
  <c r="AK23" i="1"/>
  <c r="AL22" i="1"/>
  <c r="AK22" i="1"/>
  <c r="AL21" i="1"/>
  <c r="AK21" i="1"/>
  <c r="AL20" i="1"/>
  <c r="AK20" i="1"/>
  <c r="AL19" i="1"/>
  <c r="AK19" i="1"/>
  <c r="AL18" i="1"/>
  <c r="AK18" i="1"/>
  <c r="AL17" i="1"/>
  <c r="AK17" i="1"/>
  <c r="AL16" i="1"/>
  <c r="AK16" i="1"/>
  <c r="AL15" i="1"/>
  <c r="AK15" i="1"/>
  <c r="AL14" i="1"/>
  <c r="AK14" i="1"/>
  <c r="AL13" i="1"/>
  <c r="AK13" i="1"/>
  <c r="AL12" i="1"/>
  <c r="AK12" i="1"/>
  <c r="AL11" i="1"/>
  <c r="AK11" i="1"/>
  <c r="AL10" i="1"/>
  <c r="AK10" i="1"/>
  <c r="AL9" i="1"/>
  <c r="AK9" i="1"/>
  <c r="AL8" i="1"/>
  <c r="AK8" i="1"/>
  <c r="AL7" i="1"/>
  <c r="AK7" i="1"/>
  <c r="AL6" i="1"/>
  <c r="AK6" i="1"/>
  <c r="AK4" i="1"/>
  <c r="AK5" i="1"/>
  <c r="AL4" i="1"/>
  <c r="AL5" i="1"/>
  <c r="AK2" i="1"/>
  <c r="AL2" i="1"/>
  <c r="AK3" i="1"/>
  <c r="AL3" i="1"/>
  <c r="B9" i="4" l="1"/>
  <c r="D21" i="3" a="1"/>
  <c r="D21" i="3" s="1"/>
  <c r="D20" i="3" a="1"/>
  <c r="D20" i="3" s="1"/>
  <c r="G20" i="3" l="1" a="1"/>
  <c r="G20" i="3" s="1"/>
  <c r="G19" i="3" a="1"/>
  <c r="G19" i="3" s="1"/>
  <c r="G18" i="3" a="1"/>
  <c r="G18" i="3" s="1"/>
  <c r="G17" i="3" a="1"/>
  <c r="G17" i="3" s="1"/>
  <c r="D19" i="3" a="1"/>
  <c r="D19" i="3" s="1"/>
  <c r="D18" i="3" a="1"/>
  <c r="D18" i="3" s="1"/>
  <c r="D17" i="3" a="1"/>
  <c r="D17" i="3" s="1"/>
  <c r="G13" i="3" a="1"/>
  <c r="G13" i="3" s="1"/>
  <c r="G12" i="3" a="1"/>
  <c r="G12" i="3" s="1"/>
  <c r="G11" i="3" a="1"/>
  <c r="G11" i="3" s="1"/>
  <c r="D13" i="3" a="1"/>
  <c r="D13" i="3" s="1"/>
  <c r="C2" i="3" a="1"/>
  <c r="C2" i="3" s="1"/>
  <c r="C7" i="3" a="1"/>
  <c r="C7" i="3" s="1"/>
  <c r="D11" i="3" a="1"/>
  <c r="D11" i="3" s="1"/>
  <c r="D12" i="3" a="1"/>
  <c r="D12" i="3" s="1"/>
  <c r="K1" i="3"/>
  <c r="M1" i="3" s="1"/>
  <c r="C3" i="3" l="1" a="1"/>
  <c r="C3"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<sst xmlns="http://schemas.openxmlformats.org/spreadsheetml/2006/main" count="2765" uniqueCount="180">
  <si>
    <t>Company ID (18 Char)</t>
  </si>
  <si>
    <t>FivesCreated ID (18)</t>
  </si>
  <si>
    <t>Five Created Name</t>
  </si>
  <si>
    <t>Company Name</t>
  </si>
  <si>
    <t>Edit Date</t>
  </si>
  <si>
    <t>Old Value</t>
  </si>
  <si>
    <t>New Value</t>
  </si>
  <si>
    <t>Gene Accepted</t>
  </si>
  <si>
    <t>Assign Senior: Full Name</t>
  </si>
  <si>
    <t>Gene's Comments</t>
  </si>
  <si>
    <t>Current Prospect Status</t>
  </si>
  <si>
    <t>Prospect Source</t>
  </si>
  <si>
    <t>Split Credit</t>
  </si>
  <si>
    <t>Exclude Commissions</t>
  </si>
  <si>
    <t>Last Meaningful Interaction Date</t>
  </si>
  <si>
    <t>Last Meaningful Interaction</t>
  </si>
  <si>
    <t>Last Activity</t>
  </si>
  <si>
    <t>Scale Notes</t>
  </si>
  <si>
    <t>Growth Notes</t>
  </si>
  <si>
    <t>Profitability Notes</t>
  </si>
  <si>
    <t>Revenue Model Notes</t>
  </si>
  <si>
    <t>Ownership Dynamic Notes</t>
  </si>
  <si>
    <t>Concentrations Notes</t>
  </si>
  <si>
    <t>Capital Structure Notes</t>
  </si>
  <si>
    <t>Invested Capital ($)</t>
  </si>
  <si>
    <t>Description</t>
  </si>
  <si>
    <t>Employees (SS)</t>
  </si>
  <si>
    <t>Latest Raised (SS)</t>
  </si>
  <si>
    <t>Latest Raised Date (SS)</t>
  </si>
  <si>
    <t>Total Raised (SS)</t>
  </si>
  <si>
    <t>Ownership (SS)</t>
  </si>
  <si>
    <t>5 - Interesting Now</t>
  </si>
  <si>
    <t>Undecided</t>
  </si>
  <si>
    <t>Proprietary</t>
  </si>
  <si>
    <t>Private</t>
  </si>
  <si>
    <t>Upgraded By</t>
  </si>
  <si>
    <t>Team</t>
  </si>
  <si>
    <t>Qualification Parameters</t>
  </si>
  <si>
    <t>Website</t>
  </si>
  <si>
    <t>Latest Raised Date</t>
  </si>
  <si>
    <t>Latest Raised</t>
  </si>
  <si>
    <t>Total Raised</t>
  </si>
  <si>
    <t>Employees</t>
  </si>
  <si>
    <t>Additional Data</t>
  </si>
  <si>
    <t>Company Owner &amp; Team</t>
  </si>
  <si>
    <t>Company Owner</t>
  </si>
  <si>
    <t>Upgraded by Combined</t>
  </si>
  <si>
    <t>Count by Upgraded</t>
  </si>
  <si>
    <t>#</t>
  </si>
  <si>
    <t>2 - Unknown: In Workflow</t>
  </si>
  <si>
    <t>HQ</t>
  </si>
  <si>
    <t>USA</t>
  </si>
  <si>
    <t>HQ Country</t>
  </si>
  <si>
    <t>1300 x 605</t>
  </si>
  <si>
    <t>Weekly Fives Review</t>
  </si>
  <si>
    <t>4 - Track for Future</t>
  </si>
  <si>
    <t>None</t>
  </si>
  <si>
    <t>Venture Capital</t>
  </si>
  <si>
    <t>none</t>
  </si>
  <si>
    <t>$30M ARR</t>
  </si>
  <si>
    <t>001d000001cl1huAAA</t>
  </si>
  <si>
    <t>a1RVR000000D70T2AS</t>
  </si>
  <si>
    <t>FD240226_04141</t>
  </si>
  <si>
    <t>Delaget</t>
  </si>
  <si>
    <t>Ben MacShane</t>
  </si>
  <si>
    <t>Follow-up Conversation: Jason Tober (Delaget) with Ben MacShane 2/26/2024 (7 days ago).</t>
  </si>
  <si>
    <t>$15M EOY '23A ARR</t>
  </si>
  <si>
    <t>~40% 2022 Growth</t>
  </si>
  <si>
    <t>CF+ in 1H '24</t>
  </si>
  <si>
    <t>Subscription, per restaurant per month</t>
  </si>
  <si>
    <t>One outside shareholder</t>
  </si>
  <si>
    <t>None known</t>
  </si>
  <si>
    <t>2014: Northern Pacific Group investment (Series A)</t>
  </si>
  <si>
    <t>Delaget, LLC is an information service, transaction processing, and outsourced services company. The company offers loss prevention, reporting, analytics, and payroll and accounting services. The company serves its clients across the country.</t>
  </si>
  <si>
    <t>https://www.delaget.com</t>
  </si>
  <si>
    <t>0010V00002C75f9QAB</t>
  </si>
  <si>
    <t>a1RVR000000Di852AC</t>
  </si>
  <si>
    <t>FD240228_04144</t>
  </si>
  <si>
    <t>CCR</t>
  </si>
  <si>
    <t>Jordan Walton</t>
  </si>
  <si>
    <t>First Meeting: Mark Bonham (CCR) with Ben MacShane 2/28/2024 (5 days ago).</t>
  </si>
  <si>
    <t>$50M ARR (biz unit: $30M media/linear, $10M private LTE, $4M Ag, $2M construction, $4M gen. MSP</t>
  </si>
  <si>
    <t>Media/Linear: 8%. Private LTE flat, Ag. NA, construction 100%</t>
  </si>
  <si>
    <t>$7-9M of EBITDA</t>
  </si>
  <si>
    <t>Recurring</t>
  </si>
  <si>
    <t>100p by Kelly family</t>
  </si>
  <si>
    <t>None more than 10%</t>
  </si>
  <si>
    <t>Circle Computer Resources, Inc. (CCR) is an information service company. It offers a range of IT services to businesses and specializes in enterprise-level managed internet and connectivity services, broadcast monitoring, and cloud content sourcing. The company provides its services throughout the country.</t>
  </si>
  <si>
    <t>https://ccr.net</t>
  </si>
  <si>
    <t>0018X000034Pm6qQAC</t>
  </si>
  <si>
    <t>a1RVR000000ERI52AO</t>
  </si>
  <si>
    <t>FD240304_04159</t>
  </si>
  <si>
    <t>HeroDevs</t>
  </si>
  <si>
    <t>First Meeting: Aaron Frost (HeroDevs) with Ben MacShane 3/1/2024 (3 days ago).</t>
  </si>
  <si>
    <t>$19M of product rev, $10M of services</t>
  </si>
  <si>
    <t>50%+</t>
  </si>
  <si>
    <t>$12m of EBITDA</t>
  </si>
  <si>
    <t>recurring product rev. and services</t>
  </si>
  <si>
    <t>$8M from Album, rest is founder</t>
  </si>
  <si>
    <t>HeroDevs, LLC is a software development company. Its products include NES Vue 2, NES Angular, AngularJS XLTS, NES Protractor, Endbridge. The company offers Web, Web Development, Architecture, Open Source, End-of-Life, Angular, Vue, Nx, React, Cypress, and AngularJs. It provides services to its clients and business consumers.</t>
  </si>
  <si>
    <t>https://www.herodevs.com</t>
  </si>
  <si>
    <t>0013w00002UGhAOAA1</t>
  </si>
  <si>
    <t>a1RVR000000ERht2AG</t>
  </si>
  <si>
    <t>FD240304_04160</t>
  </si>
  <si>
    <t>Smarty</t>
  </si>
  <si>
    <t>First Meeting: Rob Green (SmartyStreets) with Ben MacShane 2/29/2024 (4 days ago).</t>
  </si>
  <si>
    <t>30% YoY</t>
  </si>
  <si>
    <t>30% EBITDA</t>
  </si>
  <si>
    <t>subscription SaaS</t>
  </si>
  <si>
    <t>100p founder owned</t>
  </si>
  <si>
    <t>SmartyStreets, LLC is to operate as a software services company that provides address validation and geocoding services. It offers on-demand USPS address verification, validation, certification, and standardization services.</t>
  </si>
  <si>
    <t>https://www.smarty.com</t>
  </si>
  <si>
    <t>Reference for Leo: 1-20. Fill out 1-10 on left, then 11-20 on right columns. If &gt;20, split evenly between 2 columns</t>
  </si>
  <si>
    <t>Upgraded By Ben MacShane</t>
  </si>
  <si>
    <t>Delaget2</t>
  </si>
  <si>
    <t>CCR2</t>
  </si>
  <si>
    <t>HeroDevs2</t>
  </si>
  <si>
    <t>Smarty2</t>
  </si>
  <si>
    <t>Delaget3</t>
  </si>
  <si>
    <t>CCR3</t>
  </si>
  <si>
    <t>HeroDevs3</t>
  </si>
  <si>
    <t>Smarty3</t>
  </si>
  <si>
    <t>Delaget4</t>
  </si>
  <si>
    <t>CCR5</t>
  </si>
  <si>
    <t>CCR4</t>
  </si>
  <si>
    <t>HeroDevs4</t>
  </si>
  <si>
    <t>Smarty4</t>
  </si>
  <si>
    <t>Delaget5</t>
  </si>
  <si>
    <t>HeroDevs5</t>
  </si>
  <si>
    <t>Smarty5</t>
  </si>
  <si>
    <t>Delaget6</t>
  </si>
  <si>
    <t>CCR6</t>
  </si>
  <si>
    <t>HeroDevs6</t>
  </si>
  <si>
    <t>Smarty6</t>
  </si>
  <si>
    <t>Delaget7</t>
  </si>
  <si>
    <t>CCR7</t>
  </si>
  <si>
    <t>HeroDevs7</t>
  </si>
  <si>
    <t>Smarty7</t>
  </si>
  <si>
    <t>Delaget8</t>
  </si>
  <si>
    <t>CCR8</t>
  </si>
  <si>
    <t>HeroDevs8</t>
  </si>
  <si>
    <t>Smarty8</t>
  </si>
  <si>
    <t>Delaget9</t>
  </si>
  <si>
    <t>CCR9</t>
  </si>
  <si>
    <t>HeroDevs9</t>
  </si>
  <si>
    <t>Smarty9</t>
  </si>
  <si>
    <t>Delaget10</t>
  </si>
  <si>
    <t>CCR10</t>
  </si>
  <si>
    <t>HeroDevs10</t>
  </si>
  <si>
    <t>Smarty10</t>
  </si>
  <si>
    <t>Delaget11</t>
  </si>
  <si>
    <t>CCR11</t>
  </si>
  <si>
    <t>HeroDevs11</t>
  </si>
  <si>
    <t>Smarty11</t>
  </si>
  <si>
    <t>Delaget12</t>
  </si>
  <si>
    <t>CCR12</t>
  </si>
  <si>
    <t>HeroDevs12</t>
  </si>
  <si>
    <t>Smarty12</t>
  </si>
  <si>
    <t>Gluteus Pencilman</t>
  </si>
  <si>
    <t>Preston Presstors</t>
  </si>
  <si>
    <t>Mike</t>
  </si>
  <si>
    <t>Lemon Levowitz</t>
  </si>
  <si>
    <t>Crustaceous Investments</t>
  </si>
  <si>
    <t>Classic Crew</t>
  </si>
  <si>
    <t>Yell Out For Me!</t>
  </si>
  <si>
    <t>Blend in Ben</t>
  </si>
  <si>
    <t>Apples</t>
  </si>
  <si>
    <t>Bananas</t>
  </si>
  <si>
    <t>Rhinoceros Rex</t>
  </si>
  <si>
    <t>Upgraded By Classic Crew</t>
  </si>
  <si>
    <t>Upgraded By Apples</t>
  </si>
  <si>
    <t>Upgraded By Bananas</t>
  </si>
  <si>
    <t>Upgraded By Yell Out For Me!</t>
  </si>
  <si>
    <t>Upgraded By Blend in Ben</t>
  </si>
  <si>
    <t>Upgraded By Rhinoceros Rex</t>
  </si>
  <si>
    <t>Upgraded By Lemon Levowitz</t>
  </si>
  <si>
    <t>Upgraded By Mike</t>
  </si>
  <si>
    <t>Upgraded By Crustaceous Investments</t>
  </si>
  <si>
    <t>Upgraded By Gluteus Pencilman</t>
  </si>
  <si>
    <t>Upgraded By Preston Presstors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</si>
</sst>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0.0_);\(#,##0.0\)"/>
    <numFmt numFmtId="165" formatCode="[$-409]mmmm\ d\,\ yyyy;@"/>
    <numFmt numFmtId="166" formatCode="&quot;$&quot;#,##0"/>
    <numFmt numFmtId="167" formatCode="m/d/yy"/>
  </numFmts>
  <fonts count="35"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22"/>
      <color theme="1" tint="0.24994659260841701"/>
      <name val="Arial"/>
      <family val="2"/>
    </font>
    <font>
      <b/>
      <sz val="14"/>
      <color theme="1" tint="0.24994659260841701"/>
      <name val="Arial"/>
      <family val="2"/>
    </font>
    <font>
      <sz val="9"/>
      <color theme="1"/>
      <name val="Calibri"/>
      <family val="2"/>
      <scheme val="minor"/>
    </font>
    <font>
      <sz val="12"/>
      <color theme="1"/>
      <name val="Arial"/>
      <family val="2"/>
    </font>
    <font>
      <b/>
      <sz val="9"/>
      <color theme="1"/>
      <name val="Calibri"/>
      <family val="2"/>
      <scheme val="minor"/>
    </font>
    <font>
      <b/>
      <sz val="18"/>
      <color theme="1" tint="0.24994659260841701"/>
      <name val="Arial"/>
      <family val="2"/>
    </font>
    <font>
      <b/>
      <sz val="28"/>
      <color theme="1" tint="0.24994659260841701"/>
      <name val="Arial"/>
      <family val="2"/>
    </font>
    <font>
      <sz val="16"/>
      <color theme="1"/>
      <name val="Arial"/>
      <family val="2"/>
    </font>
    <font>
      <b/>
      <sz val="16"/>
      <color theme="1"/>
      <name val="Calibri"/>
      <family val="2"/>
      <scheme val="minor"/>
    </font>
    <font>
      <sz val="16"/>
      <color theme="1"/>
      <name val="Calibri"/>
      <family val="2"/>
      <scheme val="minor"/>
    </font>
    <font>
      <b/>
      <sz val="16"/>
      <color theme="0"/>
      <name val="Calibri"/>
      <family val="2"/>
      <scheme val="minor"/>
    </font>
    <font>
      <sz val="21"/>
      <color theme="1" tint="0.24994659260841701"/>
      <name val="Arial"/>
      <family val="2"/>
    </font>
    <font>
      <b/>
      <sz val="15"/>
      <color theme="1"/>
      <name val="Arial"/>
      <family val="2"/>
    </font>
    <font>
      <sz val="15"/>
      <color theme="1"/>
      <name val="Arial"/>
      <family val="2"/>
    </font>
    <font>
      <sz val="12"/>
      <color rgb="FF000000"/>
      <name val="Calibri"/>
      <family val="2"/>
    </font>
    <font>
      <sz val="20"/>
      <color theme="1" tint="0.24994659260841701"/>
      <name val="Arial"/>
      <family val="2"/>
    </font>
    <font>
      <sz val="14"/>
      <color theme="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499984740745262"/>
        <bgColor indexed="64"/>
      </patternFill>
    </fill>
    <fill>
      <patternFill patternType="solid">
        <fgColor theme="9" tint="0.79998168889431442"/>
        <bgColor indexed="64"/>
      </patternFill>
    </fill>
    <fill>
      <patternFill patternType="solid">
        <fgColor theme="5" tint="-0.249977111117893"/>
        <bgColor indexed="64"/>
      </patternFill>
    </fill>
    <fill>
      <patternFill patternType="solid">
        <fgColor theme="7" tint="0.79998168889431442"/>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thick">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medium">
        <color theme="0"/>
      </right>
      <top/>
      <bottom/>
      <diagonal/>
    </border>
    <border>
      <left style="medium">
        <color theme="0"/>
      </left>
      <right style="medium">
        <color theme="0"/>
      </right>
      <top/>
      <bottom/>
      <diagonal/>
    </border>
    <border>
      <left style="medium">
        <color theme="0"/>
      </left>
      <right/>
      <top/>
      <bottom/>
      <diagonal/>
    </border>
    <border>
      <left/>
      <right/>
      <top style="thin">
        <color theme="1"/>
      </top>
      <bottom style="thin">
        <color theme="1"/>
      </bottom>
      <diagonal/>
    </border>
    <border>
      <left/>
      <right/>
      <top style="thin">
        <color theme="1"/>
      </top>
      <bottom/>
      <diagonal/>
    </border>
  </borders>
  <cellStyleXfs count="47">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Protection="0">
      <alignment vertical="top"/>
    </xf>
    <xf numFmtId="0" fontId="20" fillId="0" borderId="0"/>
    <xf numFmtId="9" fontId="1" fillId="0" borderId="0" applyFont="0" applyFill="0" applyBorder="0" applyAlignment="0" applyProtection="0"/>
  </cellStyleXfs>
  <cellXfs count="40">
    <xf numFmtId="0" fontId="0" fillId="0" borderId="0" xfId="0"/>
    <xf numFmtId="164" fontId="20" fillId="0" borderId="0" xfId="45" applyNumberFormat="1"/>
    <xf numFmtId="0" fontId="0" fillId="0" borderId="10" xfId="0" applyBorder="1"/>
    <xf numFmtId="0" fontId="21" fillId="0" borderId="10" xfId="0" applyFont="1" applyBorder="1"/>
    <xf numFmtId="164" fontId="0" fillId="0" borderId="11" xfId="0" applyNumberFormat="1" applyBorder="1"/>
    <xf numFmtId="0" fontId="16" fillId="0" borderId="0" xfId="0" applyFont="1"/>
    <xf numFmtId="164" fontId="22" fillId="0" borderId="0" xfId="45" applyNumberFormat="1" applyFont="1"/>
    <xf numFmtId="0" fontId="21" fillId="34" borderId="10" xfId="0" applyFont="1" applyFill="1" applyBorder="1"/>
    <xf numFmtId="0" fontId="21" fillId="0" borderId="10" xfId="0" applyFont="1" applyBorder="1" applyAlignment="1">
      <alignment wrapText="1"/>
    </xf>
    <xf numFmtId="164" fontId="23" fillId="0" borderId="11" xfId="44" applyNumberFormat="1" applyFont="1" applyBorder="1">
      <alignment vertical="top"/>
    </xf>
    <xf numFmtId="164" fontId="24" fillId="0" borderId="10" xfId="43" applyNumberFormat="1" applyFont="1" applyBorder="1"/>
    <xf numFmtId="164" fontId="24" fillId="0" borderId="0" xfId="43" applyNumberFormat="1" applyFont="1"/>
    <xf numFmtId="0" fontId="26" fillId="0" borderId="0" xfId="0" applyFont="1"/>
    <xf numFmtId="0" fontId="27" fillId="0" borderId="0" xfId="0" applyFont="1"/>
    <xf numFmtId="164" fontId="29" fillId="0" borderId="10" xfId="43" applyNumberFormat="1" applyFont="1" applyBorder="1"/>
    <xf numFmtId="0" fontId="30" fillId="0" borderId="10" xfId="0" applyFont="1" applyBorder="1" applyAlignment="1">
      <alignment horizontal="left" vertical="top"/>
    </xf>
    <xf numFmtId="0" fontId="31" fillId="0" borderId="10" xfId="0" applyFont="1" applyBorder="1" applyAlignment="1">
      <alignment horizontal="left" vertical="top" wrapText="1"/>
    </xf>
    <xf numFmtId="0" fontId="31" fillId="0" borderId="10" xfId="0" applyFont="1" applyBorder="1" applyAlignment="1">
      <alignment horizontal="left" vertical="top"/>
    </xf>
    <xf numFmtId="165" fontId="31" fillId="0" borderId="10" xfId="1" applyNumberFormat="1" applyFont="1" applyBorder="1" applyAlignment="1">
      <alignment horizontal="left" vertical="top" wrapText="1"/>
    </xf>
    <xf numFmtId="164" fontId="0" fillId="0" borderId="11" xfId="0" applyNumberFormat="1" applyBorder="1" applyAlignment="1">
      <alignment wrapText="1"/>
    </xf>
    <xf numFmtId="0" fontId="0" fillId="35" borderId="0" xfId="0" applyFill="1"/>
    <xf numFmtId="9" fontId="31" fillId="0" borderId="10" xfId="0" applyNumberFormat="1" applyFont="1" applyBorder="1" applyAlignment="1">
      <alignment horizontal="left" vertical="top" wrapText="1"/>
    </xf>
    <xf numFmtId="9" fontId="31" fillId="0" borderId="10" xfId="46" applyFont="1" applyBorder="1" applyAlignment="1">
      <alignment horizontal="left" vertical="top" wrapText="1"/>
    </xf>
    <xf numFmtId="0" fontId="21" fillId="36" borderId="10" xfId="0" applyFont="1" applyFill="1" applyBorder="1" applyAlignment="1">
      <alignment horizontal="right"/>
    </xf>
    <xf numFmtId="0" fontId="28" fillId="33" borderId="15" xfId="0" applyFont="1" applyFill="1" applyBorder="1" applyAlignment="1">
      <alignment horizontal="center" vertical="center"/>
    </xf>
    <xf numFmtId="0" fontId="28" fillId="33" borderId="16" xfId="0" applyFont="1" applyFill="1" applyBorder="1"/>
    <xf numFmtId="0" fontId="28" fillId="33" borderId="17" xfId="0" applyFont="1" applyFill="1" applyBorder="1"/>
    <xf numFmtId="166" fontId="31" fillId="0" borderId="10" xfId="1" applyNumberFormat="1" applyFont="1" applyBorder="1" applyAlignment="1">
      <alignment horizontal="left" vertical="top" wrapText="1"/>
    </xf>
    <xf numFmtId="0" fontId="31" fillId="0" borderId="10" xfId="0" applyFont="1" applyBorder="1"/>
    <xf numFmtId="0" fontId="30" fillId="0" borderId="10" xfId="0" applyFont="1" applyBorder="1"/>
    <xf numFmtId="14" fontId="33" fillId="0" borderId="0" xfId="44" applyNumberFormat="1" applyFont="1" applyFill="1">
      <alignment vertical="top"/>
    </xf>
    <xf numFmtId="14" fontId="0" fillId="0" borderId="0" xfId="0" applyNumberFormat="1"/>
    <xf numFmtId="164" fontId="34" fillId="0" borderId="0" xfId="45" applyNumberFormat="1" applyFont="1"/>
    <xf numFmtId="0" fontId="0" fillId="0" borderId="18" xfId="0" applyBorder="1"/>
    <xf numFmtId="167" fontId="0" fillId="0" borderId="0" xfId="0" applyNumberFormat="1"/>
    <xf numFmtId="9" fontId="0" fillId="0" borderId="0" xfId="0" applyNumberFormat="1"/>
    <xf numFmtId="0" fontId="0" fillId="0" borderId="19" xfId="0" applyBorder="1"/>
    <xf numFmtId="0" fontId="25" fillId="0" borderId="12" xfId="0" applyFont="1"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cellXfs>
  <cellStyles count="47">
    <cellStyle name="_Heading" xfId="43" xr:uid="{00000000-0005-0000-0000-000000000000}"/>
    <cellStyle name="_SubHeading" xfId="44" xr:uid="{00000000-0005-0000-0000-000001000000}"/>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2" xfId="45" xr:uid="{00000000-0005-0000-0000-000028000000}"/>
    <cellStyle name="Note" xfId="16" builtinId="10" customBuiltin="1"/>
    <cellStyle name="Output" xfId="11" builtinId="21" customBuiltin="1"/>
    <cellStyle name="Percent" xfId="46" builtinId="5"/>
    <cellStyle name="Title" xfId="2" builtinId="15" customBuiltin="1"/>
    <cellStyle name="Total" xfId="18" builtinId="25" customBuiltin="1"/>
    <cellStyle name="Warning Text" xfId="15" builtinId="11" customBuiltin="1"/>
  </cellStyles>
  <dxfs count="39">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bgColor auto="1"/>
        </patternFill>
      </fill>
      <alignment horizontal="general" vertical="bottom" textRotation="0" wrapText="0" indent="0" justifyLastLine="0" shrinkToFit="0" readingOrder="0"/>
      <border diagonalUp="0" diagonalDown="0">
        <left/>
        <right/>
        <top style="thin">
          <color theme="1"/>
        </top>
        <bottom style="thin">
          <color theme="1"/>
        </bottom>
      </border>
    </dxf>
    <dxf>
      <fill>
        <patternFill patternType="none">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png"/></Relationships>
</file>

<file path=xl/drawings/_rels/drawing37.xml.rels><?xml version="1.0" encoding="UTF-8" standalone="yes"?>
<Relationships xmlns="http://schemas.openxmlformats.org/package/2006/relationships"><Relationship Id="rId1" Type="http://schemas.openxmlformats.org/officeDocument/2006/relationships/image" Target="../media/image2.png"/></Relationships>
</file>

<file path=xl/drawings/_rels/drawing38.xml.rels><?xml version="1.0" encoding="UTF-8" standalone="yes"?>
<Relationships xmlns="http://schemas.openxmlformats.org/package/2006/relationships"><Relationship Id="rId1" Type="http://schemas.openxmlformats.org/officeDocument/2006/relationships/image" Target="../media/image2.png"/></Relationships>
</file>

<file path=xl/drawings/_rels/drawing39.xml.rels><?xml version="1.0" encoding="UTF-8" standalone="yes"?>
<Relationships xmlns="http://schemas.openxmlformats.org/package/2006/relationships"><Relationship Id="rId1" Type="http://schemas.openxmlformats.org/officeDocument/2006/relationships/image" Target="../media/image2.png"/></Relationships>
</file>

<file path=xl/drawings/_rels/drawing40.xml.rels><?xml version="1.0" encoding="UTF-8" standalone="yes"?>
<Relationships xmlns="http://schemas.openxmlformats.org/package/2006/relationships"><Relationship Id="rId1" Type="http://schemas.openxmlformats.org/officeDocument/2006/relationships/image" Target="../media/image2.png"/></Relationships>
</file>

<file path=xl/drawings/_rels/drawing41.xml.rels><?xml version="1.0" encoding="UTF-8" standalone="yes"?>
<Relationships xmlns="http://schemas.openxmlformats.org/package/2006/relationships"><Relationship Id="rId1" Type="http://schemas.openxmlformats.org/officeDocument/2006/relationships/image" Target="../media/image2.png"/></Relationships>
</file>

<file path=xl/drawings/_rels/drawing4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4.xml.rels><?xml version="1.0" encoding="UTF-8" standalone="yes"?>
<Relationships xmlns="http://schemas.openxmlformats.org/package/2006/relationships"><Relationship Id="rId1" Type="http://schemas.openxmlformats.org/officeDocument/2006/relationships/image" Target="../media/image2.png"/></Relationships>
</file>

<file path=xl/drawings/_rels/drawing45.xml.rels><?xml version="1.0" encoding="UTF-8" standalone="yes"?>
<Relationships xmlns="http://schemas.openxmlformats.org/package/2006/relationships"><Relationship Id="rId1" Type="http://schemas.openxmlformats.org/officeDocument/2006/relationships/image" Target="../media/image2.png"/></Relationships>
</file>

<file path=xl/drawings/_rels/drawing46.xml.rels><?xml version="1.0" encoding="UTF-8" standalone="yes"?>
<Relationships xmlns="http://schemas.openxmlformats.org/package/2006/relationships"><Relationship Id="rId1" Type="http://schemas.openxmlformats.org/officeDocument/2006/relationships/image" Target="../media/image2.png"/></Relationships>
</file>

<file path=xl/drawings/_rels/drawing47.xml.rels><?xml version="1.0" encoding="UTF-8" standalone="yes"?>
<Relationships xmlns="http://schemas.openxmlformats.org/package/2006/relationships"><Relationship Id="rId1" Type="http://schemas.openxmlformats.org/officeDocument/2006/relationships/image" Target="../media/image2.png"/></Relationships>
</file>

<file path=xl/drawings/_rels/drawing48.xml.rels><?xml version="1.0" encoding="UTF-8" standalone="yes"?>
<Relationships xmlns="http://schemas.openxmlformats.org/package/2006/relationships"><Relationship Id="rId1" Type="http://schemas.openxmlformats.org/officeDocument/2006/relationships/image" Target="../media/image2.png"/></Relationships>
</file>

<file path=xl/drawings/_rels/drawing49.xml.rels><?xml version="1.0" encoding="UTF-8" standalone="yes"?>
<Relationships xmlns="http://schemas.openxmlformats.org/package/2006/relationships"><Relationship Id="rId1" Type="http://schemas.openxmlformats.org/officeDocument/2006/relationships/image" Target="../media/image2.png"/></Relationships>
</file>

<file path=xl/drawings/_rels/drawing50.xml.rels><?xml version="1.0" encoding="UTF-8" standalone="yes"?>
<Relationships xmlns="http://schemas.openxmlformats.org/package/2006/relationships"><Relationship Id="rId1" Type="http://schemas.openxmlformats.org/officeDocument/2006/relationships/image" Target="../media/image2.png"/></Relationships>
</file>

<file path=xl/drawings/_rels/drawing5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399563</xdr:colOff>
      <xdr:row>1</xdr:row>
      <xdr:rowOff>58615</xdr:rowOff>
    </xdr:from>
    <xdr:to>
      <xdr:col>3</xdr:col>
      <xdr:colOff>2019301</xdr:colOff>
      <xdr:row>6</xdr:row>
      <xdr:rowOff>15743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9563" y="439615"/>
          <a:ext cx="5286130" cy="104151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B91C7873-373C-4FF6-B6A6-D8E65B761CD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67649" name="Button 1" descr="Run" hidden="1">
              <a:extLst>
                <a:ext uri="{63B3BB69-23CF-44E3-9099-C40C66FF867C}">
                  <a14:compatExt spid="_x0000_s667649"/>
                </a:ext>
                <a:ext uri="{FF2B5EF4-FFF2-40B4-BE49-F238E27FC236}">
                  <a16:creationId xmlns:a16="http://schemas.microsoft.com/office/drawing/2014/main" id="{B1243DAB-B21E-4273-B925-45BBB7F7C863}"/>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67650" name="Button 2" hidden="1">
              <a:extLst>
                <a:ext uri="{63B3BB69-23CF-44E3-9099-C40C66FF867C}">
                  <a14:compatExt spid="_x0000_s667650"/>
                </a:ext>
                <a:ext uri="{FF2B5EF4-FFF2-40B4-BE49-F238E27FC236}">
                  <a16:creationId xmlns:a16="http://schemas.microsoft.com/office/drawing/2014/main" id="{82F09AD5-9A68-499E-BBB8-5409B92EB955}"/>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9D047E9E-5002-48BA-9BEE-4538AE8C467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66625" name="Button 1" descr="Run" hidden="1">
              <a:extLst>
                <a:ext uri="{63B3BB69-23CF-44E3-9099-C40C66FF867C}">
                  <a14:compatExt spid="_x0000_s666625"/>
                </a:ext>
                <a:ext uri="{FF2B5EF4-FFF2-40B4-BE49-F238E27FC236}">
                  <a16:creationId xmlns:a16="http://schemas.microsoft.com/office/drawing/2014/main" id="{28A2185B-7AF4-46EE-9425-D498ADA083F4}"/>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66626" name="Button 2" hidden="1">
              <a:extLst>
                <a:ext uri="{63B3BB69-23CF-44E3-9099-C40C66FF867C}">
                  <a14:compatExt spid="_x0000_s666626"/>
                </a:ext>
                <a:ext uri="{FF2B5EF4-FFF2-40B4-BE49-F238E27FC236}">
                  <a16:creationId xmlns:a16="http://schemas.microsoft.com/office/drawing/2014/main" id="{55C6125A-2203-47D2-87EE-98448AF4899A}"/>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43257AA7-9675-4BA6-9787-786FF824704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65601" name="Button 1" descr="Run" hidden="1">
              <a:extLst>
                <a:ext uri="{63B3BB69-23CF-44E3-9099-C40C66FF867C}">
                  <a14:compatExt spid="_x0000_s665601"/>
                </a:ext>
                <a:ext uri="{FF2B5EF4-FFF2-40B4-BE49-F238E27FC236}">
                  <a16:creationId xmlns:a16="http://schemas.microsoft.com/office/drawing/2014/main" id="{5174716A-29C5-4DF1-B19B-06E7713E416A}"/>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65602" name="Button 2" hidden="1">
              <a:extLst>
                <a:ext uri="{63B3BB69-23CF-44E3-9099-C40C66FF867C}">
                  <a14:compatExt spid="_x0000_s665602"/>
                </a:ext>
                <a:ext uri="{FF2B5EF4-FFF2-40B4-BE49-F238E27FC236}">
                  <a16:creationId xmlns:a16="http://schemas.microsoft.com/office/drawing/2014/main" id="{F074ED4A-0339-4900-A413-E49F0BE9A2A8}"/>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2B7265B9-B0F8-4865-93AA-3FE2588EC0A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64577" name="Button 1" descr="Run" hidden="1">
              <a:extLst>
                <a:ext uri="{63B3BB69-23CF-44E3-9099-C40C66FF867C}">
                  <a14:compatExt spid="_x0000_s664577"/>
                </a:ext>
                <a:ext uri="{FF2B5EF4-FFF2-40B4-BE49-F238E27FC236}">
                  <a16:creationId xmlns:a16="http://schemas.microsoft.com/office/drawing/2014/main" id="{39F4112B-02DF-45AF-A14D-E4DFB0934726}"/>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64578" name="Button 2" hidden="1">
              <a:extLst>
                <a:ext uri="{63B3BB69-23CF-44E3-9099-C40C66FF867C}">
                  <a14:compatExt spid="_x0000_s664578"/>
                </a:ext>
                <a:ext uri="{FF2B5EF4-FFF2-40B4-BE49-F238E27FC236}">
                  <a16:creationId xmlns:a16="http://schemas.microsoft.com/office/drawing/2014/main" id="{4D3EFD4E-27A9-4409-87C7-79622993F16F}"/>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71F47D92-E5E2-4FD1-BE0E-75E08052829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63553" name="Button 1" descr="Run" hidden="1">
              <a:extLst>
                <a:ext uri="{63B3BB69-23CF-44E3-9099-C40C66FF867C}">
                  <a14:compatExt spid="_x0000_s663553"/>
                </a:ext>
                <a:ext uri="{FF2B5EF4-FFF2-40B4-BE49-F238E27FC236}">
                  <a16:creationId xmlns:a16="http://schemas.microsoft.com/office/drawing/2014/main" id="{85F15E15-F828-471D-B6CC-30A5B6E57818}"/>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63554" name="Button 2" hidden="1">
              <a:extLst>
                <a:ext uri="{63B3BB69-23CF-44E3-9099-C40C66FF867C}">
                  <a14:compatExt spid="_x0000_s663554"/>
                </a:ext>
                <a:ext uri="{FF2B5EF4-FFF2-40B4-BE49-F238E27FC236}">
                  <a16:creationId xmlns:a16="http://schemas.microsoft.com/office/drawing/2014/main" id="{C61BE53B-8BF6-49F6-B61E-60210A955E41}"/>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9D9BA456-F19C-4923-91FE-AEA9B8D01EA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62529" name="Button 1" descr="Run" hidden="1">
              <a:extLst>
                <a:ext uri="{63B3BB69-23CF-44E3-9099-C40C66FF867C}">
                  <a14:compatExt spid="_x0000_s662529"/>
                </a:ext>
                <a:ext uri="{FF2B5EF4-FFF2-40B4-BE49-F238E27FC236}">
                  <a16:creationId xmlns:a16="http://schemas.microsoft.com/office/drawing/2014/main" id="{F1293224-D578-4D16-8FB8-7ECB4092B0BB}"/>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62530" name="Button 2" hidden="1">
              <a:extLst>
                <a:ext uri="{63B3BB69-23CF-44E3-9099-C40C66FF867C}">
                  <a14:compatExt spid="_x0000_s662530"/>
                </a:ext>
                <a:ext uri="{FF2B5EF4-FFF2-40B4-BE49-F238E27FC236}">
                  <a16:creationId xmlns:a16="http://schemas.microsoft.com/office/drawing/2014/main" id="{08FEC864-978C-44D7-B152-B4A4A2913723}"/>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FC4B67E1-9E5B-40ED-8C27-84C9C8F7DE5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61505" name="Button 1" descr="Run" hidden="1">
              <a:extLst>
                <a:ext uri="{63B3BB69-23CF-44E3-9099-C40C66FF867C}">
                  <a14:compatExt spid="_x0000_s661505"/>
                </a:ext>
                <a:ext uri="{FF2B5EF4-FFF2-40B4-BE49-F238E27FC236}">
                  <a16:creationId xmlns:a16="http://schemas.microsoft.com/office/drawing/2014/main" id="{7F3DADB8-0CF8-479B-A0EF-4EF416D9B7AD}"/>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61506" name="Button 2" hidden="1">
              <a:extLst>
                <a:ext uri="{63B3BB69-23CF-44E3-9099-C40C66FF867C}">
                  <a14:compatExt spid="_x0000_s661506"/>
                </a:ext>
                <a:ext uri="{FF2B5EF4-FFF2-40B4-BE49-F238E27FC236}">
                  <a16:creationId xmlns:a16="http://schemas.microsoft.com/office/drawing/2014/main" id="{85C58D93-D337-476B-923E-12C4BCD5C295}"/>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580DFC7D-2585-4F96-BF68-5991853B5C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60481" name="Button 1" descr="Run" hidden="1">
              <a:extLst>
                <a:ext uri="{63B3BB69-23CF-44E3-9099-C40C66FF867C}">
                  <a14:compatExt spid="_x0000_s660481"/>
                </a:ext>
                <a:ext uri="{FF2B5EF4-FFF2-40B4-BE49-F238E27FC236}">
                  <a16:creationId xmlns:a16="http://schemas.microsoft.com/office/drawing/2014/main" id="{0A2C49FE-5124-4622-A3E8-42C2D0EB804F}"/>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60482" name="Button 2" hidden="1">
              <a:extLst>
                <a:ext uri="{63B3BB69-23CF-44E3-9099-C40C66FF867C}">
                  <a14:compatExt spid="_x0000_s660482"/>
                </a:ext>
                <a:ext uri="{FF2B5EF4-FFF2-40B4-BE49-F238E27FC236}">
                  <a16:creationId xmlns:a16="http://schemas.microsoft.com/office/drawing/2014/main" id="{BB090D83-DC7F-45F2-9F0F-19A67F691E1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90A5343F-2A7E-42EB-9806-4105C8758CA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59457" name="Button 1" descr="Run" hidden="1">
              <a:extLst>
                <a:ext uri="{63B3BB69-23CF-44E3-9099-C40C66FF867C}">
                  <a14:compatExt spid="_x0000_s659457"/>
                </a:ext>
                <a:ext uri="{FF2B5EF4-FFF2-40B4-BE49-F238E27FC236}">
                  <a16:creationId xmlns:a16="http://schemas.microsoft.com/office/drawing/2014/main" id="{9E44A91D-38B6-4886-90C5-C8521F207124}"/>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59458" name="Button 2" hidden="1">
              <a:extLst>
                <a:ext uri="{63B3BB69-23CF-44E3-9099-C40C66FF867C}">
                  <a14:compatExt spid="_x0000_s659458"/>
                </a:ext>
                <a:ext uri="{FF2B5EF4-FFF2-40B4-BE49-F238E27FC236}">
                  <a16:creationId xmlns:a16="http://schemas.microsoft.com/office/drawing/2014/main" id="{AED9E784-7966-4D85-9CA5-6C051993E891}"/>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5174DCB0-BE54-4200-AAE3-6C04D94D49D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58433" name="Button 1" descr="Run" hidden="1">
              <a:extLst>
                <a:ext uri="{63B3BB69-23CF-44E3-9099-C40C66FF867C}">
                  <a14:compatExt spid="_x0000_s658433"/>
                </a:ext>
                <a:ext uri="{FF2B5EF4-FFF2-40B4-BE49-F238E27FC236}">
                  <a16:creationId xmlns:a16="http://schemas.microsoft.com/office/drawing/2014/main" id="{E297271A-F2AA-4C2E-8569-2D4C625F6A64}"/>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58434" name="Button 2" hidden="1">
              <a:extLst>
                <a:ext uri="{63B3BB69-23CF-44E3-9099-C40C66FF867C}">
                  <a14:compatExt spid="_x0000_s658434"/>
                </a:ext>
                <a:ext uri="{FF2B5EF4-FFF2-40B4-BE49-F238E27FC236}">
                  <a16:creationId xmlns:a16="http://schemas.microsoft.com/office/drawing/2014/main" id="{11047D25-EE85-494B-B633-6DD097E7A352}"/>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DFA03719-3D87-4730-8524-DB86B534D5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57409" name="Button 1" descr="Run" hidden="1">
              <a:extLst>
                <a:ext uri="{63B3BB69-23CF-44E3-9099-C40C66FF867C}">
                  <a14:compatExt spid="_x0000_s657409"/>
                </a:ext>
                <a:ext uri="{FF2B5EF4-FFF2-40B4-BE49-F238E27FC236}">
                  <a16:creationId xmlns:a16="http://schemas.microsoft.com/office/drawing/2014/main" id="{5491E779-68F0-42D8-AD68-44FA89522488}"/>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57410" name="Button 2" hidden="1">
              <a:extLst>
                <a:ext uri="{63B3BB69-23CF-44E3-9099-C40C66FF867C}">
                  <a14:compatExt spid="_x0000_s657410"/>
                </a:ext>
                <a:ext uri="{FF2B5EF4-FFF2-40B4-BE49-F238E27FC236}">
                  <a16:creationId xmlns:a16="http://schemas.microsoft.com/office/drawing/2014/main" id="{4E8A19AF-C51B-472E-9D76-733A30D71E1F}"/>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481C55E6-2C35-4038-AB58-9F60A6A46E9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56385" name="Button 1" descr="Run" hidden="1">
              <a:extLst>
                <a:ext uri="{63B3BB69-23CF-44E3-9099-C40C66FF867C}">
                  <a14:compatExt spid="_x0000_s656385"/>
                </a:ext>
                <a:ext uri="{FF2B5EF4-FFF2-40B4-BE49-F238E27FC236}">
                  <a16:creationId xmlns:a16="http://schemas.microsoft.com/office/drawing/2014/main" id="{55A1CA9E-B0AB-4068-8C78-D048C14D9E16}"/>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56386" name="Button 2" hidden="1">
              <a:extLst>
                <a:ext uri="{63B3BB69-23CF-44E3-9099-C40C66FF867C}">
                  <a14:compatExt spid="_x0000_s656386"/>
                </a:ext>
                <a:ext uri="{FF2B5EF4-FFF2-40B4-BE49-F238E27FC236}">
                  <a16:creationId xmlns:a16="http://schemas.microsoft.com/office/drawing/2014/main" id="{2DCCC21B-165D-4F74-BAD3-DF355CDFFE4E}"/>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B12EEFEB-9A98-4670-A8F0-EEE94EEEAF2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55361" name="Button 1" descr="Run" hidden="1">
              <a:extLst>
                <a:ext uri="{63B3BB69-23CF-44E3-9099-C40C66FF867C}">
                  <a14:compatExt spid="_x0000_s655361"/>
                </a:ext>
                <a:ext uri="{FF2B5EF4-FFF2-40B4-BE49-F238E27FC236}">
                  <a16:creationId xmlns:a16="http://schemas.microsoft.com/office/drawing/2014/main" id="{B04D4DF7-B0FC-4FC6-9A6A-F640AE3775D5}"/>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55362" name="Button 2" hidden="1">
              <a:extLst>
                <a:ext uri="{63B3BB69-23CF-44E3-9099-C40C66FF867C}">
                  <a14:compatExt spid="_x0000_s655362"/>
                </a:ext>
                <a:ext uri="{FF2B5EF4-FFF2-40B4-BE49-F238E27FC236}">
                  <a16:creationId xmlns:a16="http://schemas.microsoft.com/office/drawing/2014/main" id="{B26310D2-3D5D-4680-9824-59F713E6E17C}"/>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5A6BEC8C-1048-4436-8C0B-DE59D83DF08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54337" name="Button 1" descr="Run" hidden="1">
              <a:extLst>
                <a:ext uri="{63B3BB69-23CF-44E3-9099-C40C66FF867C}">
                  <a14:compatExt spid="_x0000_s654337"/>
                </a:ext>
                <a:ext uri="{FF2B5EF4-FFF2-40B4-BE49-F238E27FC236}">
                  <a16:creationId xmlns:a16="http://schemas.microsoft.com/office/drawing/2014/main" id="{62641EB6-35FE-4091-94C4-8071CA890825}"/>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54338" name="Button 2" hidden="1">
              <a:extLst>
                <a:ext uri="{63B3BB69-23CF-44E3-9099-C40C66FF867C}">
                  <a14:compatExt spid="_x0000_s654338"/>
                </a:ext>
                <a:ext uri="{FF2B5EF4-FFF2-40B4-BE49-F238E27FC236}">
                  <a16:creationId xmlns:a16="http://schemas.microsoft.com/office/drawing/2014/main" id="{2CD9B368-1884-4722-840C-AF8FBABA0B59}"/>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8A10F3BD-3331-4FF3-9376-663A00EBE9B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53313" name="Button 1" descr="Run" hidden="1">
              <a:extLst>
                <a:ext uri="{63B3BB69-23CF-44E3-9099-C40C66FF867C}">
                  <a14:compatExt spid="_x0000_s653313"/>
                </a:ext>
                <a:ext uri="{FF2B5EF4-FFF2-40B4-BE49-F238E27FC236}">
                  <a16:creationId xmlns:a16="http://schemas.microsoft.com/office/drawing/2014/main" id="{54DB3863-2152-40D1-9764-B032D70C4F3A}"/>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53314" name="Button 2" hidden="1">
              <a:extLst>
                <a:ext uri="{63B3BB69-23CF-44E3-9099-C40C66FF867C}">
                  <a14:compatExt spid="_x0000_s653314"/>
                </a:ext>
                <a:ext uri="{FF2B5EF4-FFF2-40B4-BE49-F238E27FC236}">
                  <a16:creationId xmlns:a16="http://schemas.microsoft.com/office/drawing/2014/main" id="{BB7D5BCA-B211-49DA-BC2F-A626C06FE87F}"/>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4EF6068B-5DFC-430A-9AD3-228B56A58E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52289" name="Button 1" descr="Run" hidden="1">
              <a:extLst>
                <a:ext uri="{63B3BB69-23CF-44E3-9099-C40C66FF867C}">
                  <a14:compatExt spid="_x0000_s652289"/>
                </a:ext>
                <a:ext uri="{FF2B5EF4-FFF2-40B4-BE49-F238E27FC236}">
                  <a16:creationId xmlns:a16="http://schemas.microsoft.com/office/drawing/2014/main" id="{94430E14-5762-4C65-811B-6A8C21498FEE}"/>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52290" name="Button 2" hidden="1">
              <a:extLst>
                <a:ext uri="{63B3BB69-23CF-44E3-9099-C40C66FF867C}">
                  <a14:compatExt spid="_x0000_s652290"/>
                </a:ext>
                <a:ext uri="{FF2B5EF4-FFF2-40B4-BE49-F238E27FC236}">
                  <a16:creationId xmlns:a16="http://schemas.microsoft.com/office/drawing/2014/main" id="{B2881C9F-E433-4E42-A8BA-C28DE9A30131}"/>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D4CBA808-0DD8-4BFB-B6BB-3DA00B3481E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51265" name="Button 1" descr="Run" hidden="1">
              <a:extLst>
                <a:ext uri="{63B3BB69-23CF-44E3-9099-C40C66FF867C}">
                  <a14:compatExt spid="_x0000_s651265"/>
                </a:ext>
                <a:ext uri="{FF2B5EF4-FFF2-40B4-BE49-F238E27FC236}">
                  <a16:creationId xmlns:a16="http://schemas.microsoft.com/office/drawing/2014/main" id="{B54468D7-1616-4487-A853-2996CFD8173C}"/>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51266" name="Button 2" hidden="1">
              <a:extLst>
                <a:ext uri="{63B3BB69-23CF-44E3-9099-C40C66FF867C}">
                  <a14:compatExt spid="_x0000_s651266"/>
                </a:ext>
                <a:ext uri="{FF2B5EF4-FFF2-40B4-BE49-F238E27FC236}">
                  <a16:creationId xmlns:a16="http://schemas.microsoft.com/office/drawing/2014/main" id="{855AF09E-AF73-454A-A0B0-39B1606786AB}"/>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91E270B5-E900-481C-A6D9-1B091636FB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50241" name="Button 1" descr="Run" hidden="1">
              <a:extLst>
                <a:ext uri="{63B3BB69-23CF-44E3-9099-C40C66FF867C}">
                  <a14:compatExt spid="_x0000_s650241"/>
                </a:ext>
                <a:ext uri="{FF2B5EF4-FFF2-40B4-BE49-F238E27FC236}">
                  <a16:creationId xmlns:a16="http://schemas.microsoft.com/office/drawing/2014/main" id="{A56ED32F-D4FE-4506-8CE9-55CB036C4352}"/>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50242" name="Button 2" hidden="1">
              <a:extLst>
                <a:ext uri="{63B3BB69-23CF-44E3-9099-C40C66FF867C}">
                  <a14:compatExt spid="_x0000_s650242"/>
                </a:ext>
                <a:ext uri="{FF2B5EF4-FFF2-40B4-BE49-F238E27FC236}">
                  <a16:creationId xmlns:a16="http://schemas.microsoft.com/office/drawing/2014/main" id="{A842C56A-ABE3-4377-BEE8-4769BA32013A}"/>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EE21A0FF-2170-4A1F-AE8C-64C67AE9732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49217" name="Button 1" descr="Run" hidden="1">
              <a:extLst>
                <a:ext uri="{63B3BB69-23CF-44E3-9099-C40C66FF867C}">
                  <a14:compatExt spid="_x0000_s649217"/>
                </a:ext>
                <a:ext uri="{FF2B5EF4-FFF2-40B4-BE49-F238E27FC236}">
                  <a16:creationId xmlns:a16="http://schemas.microsoft.com/office/drawing/2014/main" id="{8CBF198A-8E11-4F23-BFC4-B5E7BC7B5DCF}"/>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49218" name="Button 2" hidden="1">
              <a:extLst>
                <a:ext uri="{63B3BB69-23CF-44E3-9099-C40C66FF867C}">
                  <a14:compatExt spid="_x0000_s649218"/>
                </a:ext>
                <a:ext uri="{FF2B5EF4-FFF2-40B4-BE49-F238E27FC236}">
                  <a16:creationId xmlns:a16="http://schemas.microsoft.com/office/drawing/2014/main" id="{E186FA68-0416-41EA-BCF8-CD8E38C94428}"/>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C020D4F2-4447-4974-A50B-3C5E092E1DF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48193" name="Button 1" descr="Run" hidden="1">
              <a:extLst>
                <a:ext uri="{63B3BB69-23CF-44E3-9099-C40C66FF867C}">
                  <a14:compatExt spid="_x0000_s648193"/>
                </a:ext>
                <a:ext uri="{FF2B5EF4-FFF2-40B4-BE49-F238E27FC236}">
                  <a16:creationId xmlns:a16="http://schemas.microsoft.com/office/drawing/2014/main" id="{06BA6FDD-647C-44B1-B799-DC4D48949B52}"/>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48194" name="Button 2" hidden="1">
              <a:extLst>
                <a:ext uri="{63B3BB69-23CF-44E3-9099-C40C66FF867C}">
                  <a14:compatExt spid="_x0000_s648194"/>
                </a:ext>
                <a:ext uri="{FF2B5EF4-FFF2-40B4-BE49-F238E27FC236}">
                  <a16:creationId xmlns:a16="http://schemas.microsoft.com/office/drawing/2014/main" id="{E08A731A-B3D1-497A-956A-BA6597E418D1}"/>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C58D55E1-25C5-4F06-9600-97F93D2DC0F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47169" name="Button 1" descr="Run" hidden="1">
              <a:extLst>
                <a:ext uri="{63B3BB69-23CF-44E3-9099-C40C66FF867C}">
                  <a14:compatExt spid="_x0000_s647169"/>
                </a:ext>
                <a:ext uri="{FF2B5EF4-FFF2-40B4-BE49-F238E27FC236}">
                  <a16:creationId xmlns:a16="http://schemas.microsoft.com/office/drawing/2014/main" id="{0B51618B-BE62-40D7-A0E4-0D5BE628BA7A}"/>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47170" name="Button 2" hidden="1">
              <a:extLst>
                <a:ext uri="{63B3BB69-23CF-44E3-9099-C40C66FF867C}">
                  <a14:compatExt spid="_x0000_s647170"/>
                </a:ext>
                <a:ext uri="{FF2B5EF4-FFF2-40B4-BE49-F238E27FC236}">
                  <a16:creationId xmlns:a16="http://schemas.microsoft.com/office/drawing/2014/main" id="{8622B7FD-D467-48B3-A874-C7F3C312205A}"/>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4C632116-EDD6-4B07-9BC6-66783856DE8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46145" name="Button 1" descr="Run" hidden="1">
              <a:extLst>
                <a:ext uri="{63B3BB69-23CF-44E3-9099-C40C66FF867C}">
                  <a14:compatExt spid="_x0000_s646145"/>
                </a:ext>
                <a:ext uri="{FF2B5EF4-FFF2-40B4-BE49-F238E27FC236}">
                  <a16:creationId xmlns:a16="http://schemas.microsoft.com/office/drawing/2014/main" id="{A74B3BF7-3B41-4845-AB38-1B01955F5D73}"/>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46146" name="Button 2" hidden="1">
              <a:extLst>
                <a:ext uri="{63B3BB69-23CF-44E3-9099-C40C66FF867C}">
                  <a14:compatExt spid="_x0000_s646146"/>
                </a:ext>
                <a:ext uri="{FF2B5EF4-FFF2-40B4-BE49-F238E27FC236}">
                  <a16:creationId xmlns:a16="http://schemas.microsoft.com/office/drawing/2014/main" id="{B323695C-99C4-4010-9B93-EDFC8F4412BD}"/>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4E7AF034-2218-4051-AAFF-693E08CB091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45121" name="Button 1" descr="Run" hidden="1">
              <a:extLst>
                <a:ext uri="{63B3BB69-23CF-44E3-9099-C40C66FF867C}">
                  <a14:compatExt spid="_x0000_s645121"/>
                </a:ext>
                <a:ext uri="{FF2B5EF4-FFF2-40B4-BE49-F238E27FC236}">
                  <a16:creationId xmlns:a16="http://schemas.microsoft.com/office/drawing/2014/main" id="{3EEEAE36-2894-40BC-A079-A4AF050EA929}"/>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45122" name="Button 2" hidden="1">
              <a:extLst>
                <a:ext uri="{63B3BB69-23CF-44E3-9099-C40C66FF867C}">
                  <a14:compatExt spid="_x0000_s645122"/>
                </a:ext>
                <a:ext uri="{FF2B5EF4-FFF2-40B4-BE49-F238E27FC236}">
                  <a16:creationId xmlns:a16="http://schemas.microsoft.com/office/drawing/2014/main" id="{EC7F0A97-A445-4F0E-9CD5-5F5AD61395C5}"/>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127417AC-DE41-4AF8-B24C-E231B1D1862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44097" name="Button 1" descr="Run" hidden="1">
              <a:extLst>
                <a:ext uri="{63B3BB69-23CF-44E3-9099-C40C66FF867C}">
                  <a14:compatExt spid="_x0000_s644097"/>
                </a:ext>
                <a:ext uri="{FF2B5EF4-FFF2-40B4-BE49-F238E27FC236}">
                  <a16:creationId xmlns:a16="http://schemas.microsoft.com/office/drawing/2014/main" id="{3DDD8862-2053-41A9-9CF9-BF7F9F9C9717}"/>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44098" name="Button 2" hidden="1">
              <a:extLst>
                <a:ext uri="{63B3BB69-23CF-44E3-9099-C40C66FF867C}">
                  <a14:compatExt spid="_x0000_s644098"/>
                </a:ext>
                <a:ext uri="{FF2B5EF4-FFF2-40B4-BE49-F238E27FC236}">
                  <a16:creationId xmlns:a16="http://schemas.microsoft.com/office/drawing/2014/main" id="{CD1F7A31-2C34-475E-90E4-C33DC6B0DD8D}"/>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68FD464D-0740-490A-AC2D-30E7CF2FA6F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43073" name="Button 1" descr="Run" hidden="1">
              <a:extLst>
                <a:ext uri="{63B3BB69-23CF-44E3-9099-C40C66FF867C}">
                  <a14:compatExt spid="_x0000_s643073"/>
                </a:ext>
                <a:ext uri="{FF2B5EF4-FFF2-40B4-BE49-F238E27FC236}">
                  <a16:creationId xmlns:a16="http://schemas.microsoft.com/office/drawing/2014/main" id="{104929F5-3ACF-4D1B-B9CB-E26F93D940DC}"/>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43074" name="Button 2" hidden="1">
              <a:extLst>
                <a:ext uri="{63B3BB69-23CF-44E3-9099-C40C66FF867C}">
                  <a14:compatExt spid="_x0000_s643074"/>
                </a:ext>
                <a:ext uri="{FF2B5EF4-FFF2-40B4-BE49-F238E27FC236}">
                  <a16:creationId xmlns:a16="http://schemas.microsoft.com/office/drawing/2014/main" id="{4823157A-AA05-4FFA-A722-0F8FD1147723}"/>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337042ED-0C29-47DF-A920-9F6DBF27BA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42049" name="Button 1" descr="Run" hidden="1">
              <a:extLst>
                <a:ext uri="{63B3BB69-23CF-44E3-9099-C40C66FF867C}">
                  <a14:compatExt spid="_x0000_s642049"/>
                </a:ext>
                <a:ext uri="{FF2B5EF4-FFF2-40B4-BE49-F238E27FC236}">
                  <a16:creationId xmlns:a16="http://schemas.microsoft.com/office/drawing/2014/main" id="{1BA2BCEA-6662-427B-A18E-05B248B050AC}"/>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42050" name="Button 2" hidden="1">
              <a:extLst>
                <a:ext uri="{63B3BB69-23CF-44E3-9099-C40C66FF867C}">
                  <a14:compatExt spid="_x0000_s642050"/>
                </a:ext>
                <a:ext uri="{FF2B5EF4-FFF2-40B4-BE49-F238E27FC236}">
                  <a16:creationId xmlns:a16="http://schemas.microsoft.com/office/drawing/2014/main" id="{7B909C04-584F-40F7-9D93-3D622D8F953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20068327-564B-4994-A37D-33F6153BD8C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41025" name="Button 1" descr="Run" hidden="1">
              <a:extLst>
                <a:ext uri="{63B3BB69-23CF-44E3-9099-C40C66FF867C}">
                  <a14:compatExt spid="_x0000_s641025"/>
                </a:ext>
                <a:ext uri="{FF2B5EF4-FFF2-40B4-BE49-F238E27FC236}">
                  <a16:creationId xmlns:a16="http://schemas.microsoft.com/office/drawing/2014/main" id="{ED7FFF34-D516-40B4-9276-37995EE62334}"/>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41026" name="Button 2" hidden="1">
              <a:extLst>
                <a:ext uri="{63B3BB69-23CF-44E3-9099-C40C66FF867C}">
                  <a14:compatExt spid="_x0000_s641026"/>
                </a:ext>
                <a:ext uri="{FF2B5EF4-FFF2-40B4-BE49-F238E27FC236}">
                  <a16:creationId xmlns:a16="http://schemas.microsoft.com/office/drawing/2014/main" id="{1C00D81F-7AE1-4232-B2C6-2380CC289416}"/>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78DDE75B-7482-43DE-BFD8-967ED998FDC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40001" name="Button 1" descr="Run" hidden="1">
              <a:extLst>
                <a:ext uri="{63B3BB69-23CF-44E3-9099-C40C66FF867C}">
                  <a14:compatExt spid="_x0000_s640001"/>
                </a:ext>
                <a:ext uri="{FF2B5EF4-FFF2-40B4-BE49-F238E27FC236}">
                  <a16:creationId xmlns:a16="http://schemas.microsoft.com/office/drawing/2014/main" id="{021410F2-7D8D-4430-BB87-FC81F1BAADC3}"/>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40002" name="Button 2" hidden="1">
              <a:extLst>
                <a:ext uri="{63B3BB69-23CF-44E3-9099-C40C66FF867C}">
                  <a14:compatExt spid="_x0000_s640002"/>
                </a:ext>
                <a:ext uri="{FF2B5EF4-FFF2-40B4-BE49-F238E27FC236}">
                  <a16:creationId xmlns:a16="http://schemas.microsoft.com/office/drawing/2014/main" id="{49937C18-4741-443E-A208-65EAD43C7AE3}"/>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EA3F87A6-7C9F-4B34-92AC-FC9A8CE884D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38977" name="Button 1" descr="Run" hidden="1">
              <a:extLst>
                <a:ext uri="{63B3BB69-23CF-44E3-9099-C40C66FF867C}">
                  <a14:compatExt spid="_x0000_s638977"/>
                </a:ext>
                <a:ext uri="{FF2B5EF4-FFF2-40B4-BE49-F238E27FC236}">
                  <a16:creationId xmlns:a16="http://schemas.microsoft.com/office/drawing/2014/main" id="{FF539797-9F72-4FE6-9C90-8E0D6ED56D1B}"/>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38978" name="Button 2" hidden="1">
              <a:extLst>
                <a:ext uri="{63B3BB69-23CF-44E3-9099-C40C66FF867C}">
                  <a14:compatExt spid="_x0000_s638978"/>
                </a:ext>
                <a:ext uri="{FF2B5EF4-FFF2-40B4-BE49-F238E27FC236}">
                  <a16:creationId xmlns:a16="http://schemas.microsoft.com/office/drawing/2014/main" id="{348AC438-84EC-485B-822F-F4B7F76C67B1}"/>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DB419685-C9A6-4B73-B17E-F1F8A13BB6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37953" name="Button 1" descr="Run" hidden="1">
              <a:extLst>
                <a:ext uri="{63B3BB69-23CF-44E3-9099-C40C66FF867C}">
                  <a14:compatExt spid="_x0000_s637953"/>
                </a:ext>
                <a:ext uri="{FF2B5EF4-FFF2-40B4-BE49-F238E27FC236}">
                  <a16:creationId xmlns:a16="http://schemas.microsoft.com/office/drawing/2014/main" id="{B8C71DA3-14E8-4F00-83FA-56C51C9FAD43}"/>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37954" name="Button 2" hidden="1">
              <a:extLst>
                <a:ext uri="{63B3BB69-23CF-44E3-9099-C40C66FF867C}">
                  <a14:compatExt spid="_x0000_s637954"/>
                </a:ext>
                <a:ext uri="{FF2B5EF4-FFF2-40B4-BE49-F238E27FC236}">
                  <a16:creationId xmlns:a16="http://schemas.microsoft.com/office/drawing/2014/main" id="{990F9643-A76E-42C1-AEEC-63F77448305C}"/>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FACB2562-A474-4F24-A9A0-0E049D4394D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36929" name="Button 1" descr="Run" hidden="1">
              <a:extLst>
                <a:ext uri="{63B3BB69-23CF-44E3-9099-C40C66FF867C}">
                  <a14:compatExt spid="_x0000_s636929"/>
                </a:ext>
                <a:ext uri="{FF2B5EF4-FFF2-40B4-BE49-F238E27FC236}">
                  <a16:creationId xmlns:a16="http://schemas.microsoft.com/office/drawing/2014/main" id="{C83940A3-52F1-4E16-8330-E9285AB0BA2D}"/>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36930" name="Button 2" hidden="1">
              <a:extLst>
                <a:ext uri="{63B3BB69-23CF-44E3-9099-C40C66FF867C}">
                  <a14:compatExt spid="_x0000_s636930"/>
                </a:ext>
                <a:ext uri="{FF2B5EF4-FFF2-40B4-BE49-F238E27FC236}">
                  <a16:creationId xmlns:a16="http://schemas.microsoft.com/office/drawing/2014/main" id="{19BB353A-152A-494D-A96D-D8CF3AED24BE}"/>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0991D29A-7DC9-4BAA-8732-B080C87FE93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35905" name="Button 1" descr="Run" hidden="1">
              <a:extLst>
                <a:ext uri="{63B3BB69-23CF-44E3-9099-C40C66FF867C}">
                  <a14:compatExt spid="_x0000_s635905"/>
                </a:ext>
                <a:ext uri="{FF2B5EF4-FFF2-40B4-BE49-F238E27FC236}">
                  <a16:creationId xmlns:a16="http://schemas.microsoft.com/office/drawing/2014/main" id="{E0BFADBA-4ADB-4EC9-8C47-7E839C93F713}"/>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35906" name="Button 2" hidden="1">
              <a:extLst>
                <a:ext uri="{63B3BB69-23CF-44E3-9099-C40C66FF867C}">
                  <a14:compatExt spid="_x0000_s635906"/>
                </a:ext>
                <a:ext uri="{FF2B5EF4-FFF2-40B4-BE49-F238E27FC236}">
                  <a16:creationId xmlns:a16="http://schemas.microsoft.com/office/drawing/2014/main" id="{4C6776F5-B76C-47E9-BB00-4618D54F6E3B}"/>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7229675A-8AFF-460E-AAC1-ED007DB776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34881" name="Button 1" descr="Run" hidden="1">
              <a:extLst>
                <a:ext uri="{63B3BB69-23CF-44E3-9099-C40C66FF867C}">
                  <a14:compatExt spid="_x0000_s634881"/>
                </a:ext>
                <a:ext uri="{FF2B5EF4-FFF2-40B4-BE49-F238E27FC236}">
                  <a16:creationId xmlns:a16="http://schemas.microsoft.com/office/drawing/2014/main" id="{3700ADE5-C3C7-43B4-8DB4-41A6F7B05EC8}"/>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34882" name="Button 2" hidden="1">
              <a:extLst>
                <a:ext uri="{63B3BB69-23CF-44E3-9099-C40C66FF867C}">
                  <a14:compatExt spid="_x0000_s634882"/>
                </a:ext>
                <a:ext uri="{FF2B5EF4-FFF2-40B4-BE49-F238E27FC236}">
                  <a16:creationId xmlns:a16="http://schemas.microsoft.com/office/drawing/2014/main" id="{AACF2BC3-CF06-4786-A47C-E6C29181E5DC}"/>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2FA5FA9B-67A8-4FDC-ADB6-D34A5658A2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33857" name="Button 1" descr="Run" hidden="1">
              <a:extLst>
                <a:ext uri="{63B3BB69-23CF-44E3-9099-C40C66FF867C}">
                  <a14:compatExt spid="_x0000_s633857"/>
                </a:ext>
                <a:ext uri="{FF2B5EF4-FFF2-40B4-BE49-F238E27FC236}">
                  <a16:creationId xmlns:a16="http://schemas.microsoft.com/office/drawing/2014/main" id="{60BA346C-ABE0-4CF1-AF18-3203574204E4}"/>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33858" name="Button 2" hidden="1">
              <a:extLst>
                <a:ext uri="{63B3BB69-23CF-44E3-9099-C40C66FF867C}">
                  <a14:compatExt spid="_x0000_s633858"/>
                </a:ext>
                <a:ext uri="{FF2B5EF4-FFF2-40B4-BE49-F238E27FC236}">
                  <a16:creationId xmlns:a16="http://schemas.microsoft.com/office/drawing/2014/main" id="{C75A4F16-7B43-41D0-8FDF-E02534DFC9AF}"/>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9CC113ED-47E9-44B9-ABD4-E4DC86AB2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32833" name="Button 1" descr="Run" hidden="1">
              <a:extLst>
                <a:ext uri="{63B3BB69-23CF-44E3-9099-C40C66FF867C}">
                  <a14:compatExt spid="_x0000_s632833"/>
                </a:ext>
                <a:ext uri="{FF2B5EF4-FFF2-40B4-BE49-F238E27FC236}">
                  <a16:creationId xmlns:a16="http://schemas.microsoft.com/office/drawing/2014/main" id="{7D45165E-990D-4086-8D0F-5F958612252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32834" name="Button 2" hidden="1">
              <a:extLst>
                <a:ext uri="{63B3BB69-23CF-44E3-9099-C40C66FF867C}">
                  <a14:compatExt spid="_x0000_s632834"/>
                </a:ext>
                <a:ext uri="{FF2B5EF4-FFF2-40B4-BE49-F238E27FC236}">
                  <a16:creationId xmlns:a16="http://schemas.microsoft.com/office/drawing/2014/main" id="{0917D6D5-D211-4D77-AB53-C09EBFFD96D4}"/>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B7EC41EF-6149-4254-99B3-ED9714B2BC9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31809" name="Button 1" descr="Run" hidden="1">
              <a:extLst>
                <a:ext uri="{63B3BB69-23CF-44E3-9099-C40C66FF867C}">
                  <a14:compatExt spid="_x0000_s631809"/>
                </a:ext>
                <a:ext uri="{FF2B5EF4-FFF2-40B4-BE49-F238E27FC236}">
                  <a16:creationId xmlns:a16="http://schemas.microsoft.com/office/drawing/2014/main" id="{93E62983-BB1A-44FA-8148-092EB71750E5}"/>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31810" name="Button 2" hidden="1">
              <a:extLst>
                <a:ext uri="{63B3BB69-23CF-44E3-9099-C40C66FF867C}">
                  <a14:compatExt spid="_x0000_s631810"/>
                </a:ext>
                <a:ext uri="{FF2B5EF4-FFF2-40B4-BE49-F238E27FC236}">
                  <a16:creationId xmlns:a16="http://schemas.microsoft.com/office/drawing/2014/main" id="{58B8DC24-D6B2-4BF7-911C-17EA8D931E05}"/>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F9835FF5-B891-4C09-8554-24857003E20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30785" name="Button 1" descr="Run" hidden="1">
              <a:extLst>
                <a:ext uri="{63B3BB69-23CF-44E3-9099-C40C66FF867C}">
                  <a14:compatExt spid="_x0000_s630785"/>
                </a:ext>
                <a:ext uri="{FF2B5EF4-FFF2-40B4-BE49-F238E27FC236}">
                  <a16:creationId xmlns:a16="http://schemas.microsoft.com/office/drawing/2014/main" id="{86E490C2-DFBD-4DA6-95D2-BAD6CD65E486}"/>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30786" name="Button 2" hidden="1">
              <a:extLst>
                <a:ext uri="{63B3BB69-23CF-44E3-9099-C40C66FF867C}">
                  <a14:compatExt spid="_x0000_s630786"/>
                </a:ext>
                <a:ext uri="{FF2B5EF4-FFF2-40B4-BE49-F238E27FC236}">
                  <a16:creationId xmlns:a16="http://schemas.microsoft.com/office/drawing/2014/main" id="{284D9073-E309-468D-976C-60B98263E5E9}"/>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6C3D8A74-21AF-4D4F-9D6E-F4559BDE44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29761" name="Button 1" descr="Run" hidden="1">
              <a:extLst>
                <a:ext uri="{63B3BB69-23CF-44E3-9099-C40C66FF867C}">
                  <a14:compatExt spid="_x0000_s629761"/>
                </a:ext>
                <a:ext uri="{FF2B5EF4-FFF2-40B4-BE49-F238E27FC236}">
                  <a16:creationId xmlns:a16="http://schemas.microsoft.com/office/drawing/2014/main" id="{903E50EA-D12A-47B0-86DE-AC07D4A713B5}"/>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29762" name="Button 2" hidden="1">
              <a:extLst>
                <a:ext uri="{63B3BB69-23CF-44E3-9099-C40C66FF867C}">
                  <a14:compatExt spid="_x0000_s629762"/>
                </a:ext>
                <a:ext uri="{FF2B5EF4-FFF2-40B4-BE49-F238E27FC236}">
                  <a16:creationId xmlns:a16="http://schemas.microsoft.com/office/drawing/2014/main" id="{DB890AB7-6802-436D-97C5-947024E5E743}"/>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7BFCFCEC-2487-442B-ABB0-CB87713D51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28737" name="Button 1" descr="Run" hidden="1">
              <a:extLst>
                <a:ext uri="{63B3BB69-23CF-44E3-9099-C40C66FF867C}">
                  <a14:compatExt spid="_x0000_s628737"/>
                </a:ext>
                <a:ext uri="{FF2B5EF4-FFF2-40B4-BE49-F238E27FC236}">
                  <a16:creationId xmlns:a16="http://schemas.microsoft.com/office/drawing/2014/main" id="{7A86889F-BC28-4E60-B99C-77A885D46975}"/>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28738" name="Button 2" hidden="1">
              <a:extLst>
                <a:ext uri="{63B3BB69-23CF-44E3-9099-C40C66FF867C}">
                  <a14:compatExt spid="_x0000_s628738"/>
                </a:ext>
                <a:ext uri="{FF2B5EF4-FFF2-40B4-BE49-F238E27FC236}">
                  <a16:creationId xmlns:a16="http://schemas.microsoft.com/office/drawing/2014/main" id="{B867F774-60CF-4470-9F5F-935DD763FF56}"/>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BD8E66FB-D24F-4BCA-8CB1-875C5E8E2FC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27713" name="Button 1" descr="Run" hidden="1">
              <a:extLst>
                <a:ext uri="{63B3BB69-23CF-44E3-9099-C40C66FF867C}">
                  <a14:compatExt spid="_x0000_s627713"/>
                </a:ext>
                <a:ext uri="{FF2B5EF4-FFF2-40B4-BE49-F238E27FC236}">
                  <a16:creationId xmlns:a16="http://schemas.microsoft.com/office/drawing/2014/main" id="{6D82E04B-4DAC-4F93-94F6-F49DA947C402}"/>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27714" name="Button 2" hidden="1">
              <a:extLst>
                <a:ext uri="{63B3BB69-23CF-44E3-9099-C40C66FF867C}">
                  <a14:compatExt spid="_x0000_s627714"/>
                </a:ext>
                <a:ext uri="{FF2B5EF4-FFF2-40B4-BE49-F238E27FC236}">
                  <a16:creationId xmlns:a16="http://schemas.microsoft.com/office/drawing/2014/main" id="{108AE235-5DA2-44BB-BB94-79E86C809F2D}"/>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972D131B-BFEF-42F2-8BA6-B2DE60668FE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26689" name="Button 1" descr="Run" hidden="1">
              <a:extLst>
                <a:ext uri="{63B3BB69-23CF-44E3-9099-C40C66FF867C}">
                  <a14:compatExt spid="_x0000_s626689"/>
                </a:ext>
                <a:ext uri="{FF2B5EF4-FFF2-40B4-BE49-F238E27FC236}">
                  <a16:creationId xmlns:a16="http://schemas.microsoft.com/office/drawing/2014/main" id="{DD272CA6-94D9-4A19-AD86-4E31B0195EF1}"/>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26690" name="Button 2" hidden="1">
              <a:extLst>
                <a:ext uri="{63B3BB69-23CF-44E3-9099-C40C66FF867C}">
                  <a14:compatExt spid="_x0000_s626690"/>
                </a:ext>
                <a:ext uri="{FF2B5EF4-FFF2-40B4-BE49-F238E27FC236}">
                  <a16:creationId xmlns:a16="http://schemas.microsoft.com/office/drawing/2014/main" id="{5D9B6B3B-E455-4E92-8862-22B62D0F84D1}"/>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EEBDA0C6-3835-41D9-BFEF-78C0A53146E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25665" name="Button 1" descr="Run" hidden="1">
              <a:extLst>
                <a:ext uri="{63B3BB69-23CF-44E3-9099-C40C66FF867C}">
                  <a14:compatExt spid="_x0000_s625665"/>
                </a:ext>
                <a:ext uri="{FF2B5EF4-FFF2-40B4-BE49-F238E27FC236}">
                  <a16:creationId xmlns:a16="http://schemas.microsoft.com/office/drawing/2014/main" id="{6C4E7021-A098-4088-BE9E-04CA41AADC8F}"/>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25666" name="Button 2" hidden="1">
              <a:extLst>
                <a:ext uri="{63B3BB69-23CF-44E3-9099-C40C66FF867C}">
                  <a14:compatExt spid="_x0000_s625666"/>
                </a:ext>
                <a:ext uri="{FF2B5EF4-FFF2-40B4-BE49-F238E27FC236}">
                  <a16:creationId xmlns:a16="http://schemas.microsoft.com/office/drawing/2014/main" id="{8155144D-CF7B-44D7-AD79-9973F7B94898}"/>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4E166F4D-96B4-4766-8B9B-1F5AA2CAD11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24641" name="Button 1" descr="Run" hidden="1">
              <a:extLst>
                <a:ext uri="{63B3BB69-23CF-44E3-9099-C40C66FF867C}">
                  <a14:compatExt spid="_x0000_s624641"/>
                </a:ext>
                <a:ext uri="{FF2B5EF4-FFF2-40B4-BE49-F238E27FC236}">
                  <a16:creationId xmlns:a16="http://schemas.microsoft.com/office/drawing/2014/main" id="{E89B6BC3-5F7E-4B69-BF73-268A1CFB89A9}"/>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24642" name="Button 2" hidden="1">
              <a:extLst>
                <a:ext uri="{63B3BB69-23CF-44E3-9099-C40C66FF867C}">
                  <a14:compatExt spid="_x0000_s624642"/>
                </a:ext>
                <a:ext uri="{FF2B5EF4-FFF2-40B4-BE49-F238E27FC236}">
                  <a16:creationId xmlns:a16="http://schemas.microsoft.com/office/drawing/2014/main" id="{737A89F3-0925-47BF-82D2-197F84122A06}"/>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897EE3E6-3E02-4E54-BECF-5DC5BDF9247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23617" name="Button 1" descr="Run" hidden="1">
              <a:extLst>
                <a:ext uri="{63B3BB69-23CF-44E3-9099-C40C66FF867C}">
                  <a14:compatExt spid="_x0000_s623617"/>
                </a:ext>
                <a:ext uri="{FF2B5EF4-FFF2-40B4-BE49-F238E27FC236}">
                  <a16:creationId xmlns:a16="http://schemas.microsoft.com/office/drawing/2014/main" id="{B156F970-37BA-4EFD-8931-BFD831874AC6}"/>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23618" name="Button 2" hidden="1">
              <a:extLst>
                <a:ext uri="{63B3BB69-23CF-44E3-9099-C40C66FF867C}">
                  <a14:compatExt spid="_x0000_s623618"/>
                </a:ext>
                <a:ext uri="{FF2B5EF4-FFF2-40B4-BE49-F238E27FC236}">
                  <a16:creationId xmlns:a16="http://schemas.microsoft.com/office/drawing/2014/main" id="{60135883-98BE-4C1A-9FD3-0771C2A9BDC5}"/>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A5E4B8F6-8CD7-4FF3-8B3F-A02E9F89425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22593" name="Button 1" descr="Run" hidden="1">
              <a:extLst>
                <a:ext uri="{63B3BB69-23CF-44E3-9099-C40C66FF867C}">
                  <a14:compatExt spid="_x0000_s622593"/>
                </a:ext>
                <a:ext uri="{FF2B5EF4-FFF2-40B4-BE49-F238E27FC236}">
                  <a16:creationId xmlns:a16="http://schemas.microsoft.com/office/drawing/2014/main" id="{022A38CA-3E5E-4D67-B2B4-338FDF8A2F71}"/>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22594" name="Button 2" hidden="1">
              <a:extLst>
                <a:ext uri="{63B3BB69-23CF-44E3-9099-C40C66FF867C}">
                  <a14:compatExt spid="_x0000_s622594"/>
                </a:ext>
                <a:ext uri="{FF2B5EF4-FFF2-40B4-BE49-F238E27FC236}">
                  <a16:creationId xmlns:a16="http://schemas.microsoft.com/office/drawing/2014/main" id="{880DFB58-C97F-47B5-8C92-622332C9E776}"/>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C57F3FFC-9E4B-486F-AB23-301A62400D8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21569" name="Button 1" descr="Run" hidden="1">
              <a:extLst>
                <a:ext uri="{63B3BB69-23CF-44E3-9099-C40C66FF867C}">
                  <a14:compatExt spid="_x0000_s621569"/>
                </a:ext>
                <a:ext uri="{FF2B5EF4-FFF2-40B4-BE49-F238E27FC236}">
                  <a16:creationId xmlns:a16="http://schemas.microsoft.com/office/drawing/2014/main" id="{63A24961-BFAD-472B-9FB7-B4797C29B31E}"/>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21570" name="Button 2" hidden="1">
              <a:extLst>
                <a:ext uri="{63B3BB69-23CF-44E3-9099-C40C66FF867C}">
                  <a14:compatExt spid="_x0000_s621570"/>
                </a:ext>
                <a:ext uri="{FF2B5EF4-FFF2-40B4-BE49-F238E27FC236}">
                  <a16:creationId xmlns:a16="http://schemas.microsoft.com/office/drawing/2014/main" id="{C47C2E97-4A3F-46B4-A270-6E0FF0C05D9E}"/>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6F8778F2-D122-47AF-8FDE-93E5BEFD783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20545" name="Button 1" descr="Run" hidden="1">
              <a:extLst>
                <a:ext uri="{63B3BB69-23CF-44E3-9099-C40C66FF867C}">
                  <a14:compatExt spid="_x0000_s620545"/>
                </a:ext>
                <a:ext uri="{FF2B5EF4-FFF2-40B4-BE49-F238E27FC236}">
                  <a16:creationId xmlns:a16="http://schemas.microsoft.com/office/drawing/2014/main" id="{672E8EC6-9845-4009-BC65-1974639A8E0A}"/>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20546" name="Button 2" hidden="1">
              <a:extLst>
                <a:ext uri="{63B3BB69-23CF-44E3-9099-C40C66FF867C}">
                  <a14:compatExt spid="_x0000_s620546"/>
                </a:ext>
                <a:ext uri="{FF2B5EF4-FFF2-40B4-BE49-F238E27FC236}">
                  <a16:creationId xmlns:a16="http://schemas.microsoft.com/office/drawing/2014/main" id="{55BE5201-C7DE-4FE8-882F-730C01850F2E}"/>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11BE1031-A9D6-445D-A1E0-74B15A08EAF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619521" name="Button 1" descr="Run" hidden="1">
              <a:extLst>
                <a:ext uri="{63B3BB69-23CF-44E3-9099-C40C66FF867C}">
                  <a14:compatExt spid="_x0000_s619521"/>
                </a:ext>
                <a:ext uri="{FF2B5EF4-FFF2-40B4-BE49-F238E27FC236}">
                  <a16:creationId xmlns:a16="http://schemas.microsoft.com/office/drawing/2014/main" id="{F19A9E9A-B2CE-456C-BCDA-7AF04F8EF515}"/>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619522" name="Button 2" hidden="1">
              <a:extLst>
                <a:ext uri="{63B3BB69-23CF-44E3-9099-C40C66FF867C}">
                  <a14:compatExt spid="_x0000_s619522"/>
                </a:ext>
                <a:ext uri="{FF2B5EF4-FFF2-40B4-BE49-F238E27FC236}">
                  <a16:creationId xmlns:a16="http://schemas.microsoft.com/office/drawing/2014/main" id="{D1D7E064-4DBC-4207-AACF-DBAEACAB3B69}"/>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8600" y="215900"/>
          <a:ext cx="914400" cy="922972"/>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3073" name="Button 1" descr="Run"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editAs="oneCell">
    <xdr:from>
      <xdr:col>38</xdr:col>
      <xdr:colOff>584200</xdr:colOff>
      <xdr:row>1</xdr:row>
      <xdr:rowOff>0</xdr:rowOff>
    </xdr:from>
    <xdr:to>
      <xdr:col>48</xdr:col>
      <xdr:colOff>25400</xdr:colOff>
      <xdr:row>5</xdr:row>
      <xdr:rowOff>188334</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1516300" y="977900"/>
          <a:ext cx="7772400" cy="1890134"/>
        </a:xfrm>
        <a:prstGeom prst="rect">
          <a:avLst/>
        </a:prstGeom>
      </xdr:spPr>
    </xdr:pic>
    <xdr:clientData/>
  </xdr:twoCellAnchor>
  <xdr:twoCellAnchor editAs="oneCell">
    <xdr:from>
      <xdr:col>38</xdr:col>
      <xdr:colOff>533400</xdr:colOff>
      <xdr:row>1</xdr:row>
      <xdr:rowOff>0</xdr:rowOff>
    </xdr:from>
    <xdr:to>
      <xdr:col>41</xdr:col>
      <xdr:colOff>614680</xdr:colOff>
      <xdr:row>4</xdr:row>
      <xdr:rowOff>0</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41465500" y="292100"/>
          <a:ext cx="2633980" cy="6477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Fives" displayName="Fives" ref="A1:AL49" totalsRowShown="0" dataDxfId="38">
  <autoFilter ref="A1:AL49" xr:uid="{00000000-0009-0000-0100-000001000000}"/>
  <sortState xmlns:xlrd2="http://schemas.microsoft.com/office/spreadsheetml/2017/richdata2" ref="A2:AL5">
    <sortCondition descending="1" ref="AK2:AK5"/>
    <sortCondition ref="AL2:AL5"/>
    <sortCondition ref="H2:H5"/>
  </sortState>
  <tableColumns count="38">
    <tableColumn id="1" xr3:uid="{00000000-0010-0000-0000-000001000000}" name="Company ID (18 Char)" dataDxfId="37"/>
    <tableColumn id="2" xr3:uid="{00000000-0010-0000-0000-000002000000}" name="FivesCreated ID (18)" dataDxfId="36"/>
    <tableColumn id="3" xr3:uid="{00000000-0010-0000-0000-000003000000}" name="Five Created Name" dataDxfId="35"/>
    <tableColumn id="4" xr3:uid="{00000000-0010-0000-0000-000004000000}" name="Company Name" dataDxfId="34"/>
    <tableColumn id="35" xr3:uid="{00000000-0010-0000-0000-000023000000}" name="Company Owner" dataDxfId="33"/>
    <tableColumn id="33" xr3:uid="{00000000-0010-0000-0000-000021000000}" name="Team" dataDxfId="32"/>
    <tableColumn id="5" xr3:uid="{00000000-0010-0000-0000-000005000000}" name="Upgraded By" dataDxfId="31"/>
    <tableColumn id="6" xr3:uid="{00000000-0010-0000-0000-000006000000}" name="Edit Date" dataDxfId="30"/>
    <tableColumn id="7" xr3:uid="{00000000-0010-0000-0000-000007000000}" name="Old Value" dataDxfId="29"/>
    <tableColumn id="8" xr3:uid="{00000000-0010-0000-0000-000008000000}" name="New Value" dataDxfId="28"/>
    <tableColumn id="9" xr3:uid="{00000000-0010-0000-0000-000009000000}" name="Gene Accepted" dataDxfId="27"/>
    <tableColumn id="10" xr3:uid="{00000000-0010-0000-0000-00000A000000}" name="Assign Senior: Full Name" dataDxfId="26"/>
    <tableColumn id="11" xr3:uid="{00000000-0010-0000-0000-00000B000000}" name="Gene's Comments" dataDxfId="25"/>
    <tableColumn id="12" xr3:uid="{00000000-0010-0000-0000-00000C000000}" name="Current Prospect Status" dataDxfId="24"/>
    <tableColumn id="13" xr3:uid="{00000000-0010-0000-0000-00000D000000}" name="Prospect Source" dataDxfId="23"/>
    <tableColumn id="14" xr3:uid="{00000000-0010-0000-0000-00000E000000}" name="Split Credit" dataDxfId="22"/>
    <tableColumn id="15" xr3:uid="{00000000-0010-0000-0000-00000F000000}" name="Exclude Commissions" dataDxfId="21"/>
    <tableColumn id="16" xr3:uid="{00000000-0010-0000-0000-000010000000}" name="Last Meaningful Interaction Date" dataDxfId="20"/>
    <tableColumn id="17" xr3:uid="{00000000-0010-0000-0000-000011000000}" name="Last Meaningful Interaction" dataDxfId="19"/>
    <tableColumn id="18" xr3:uid="{00000000-0010-0000-0000-000012000000}" name="Last Activity" dataDxfId="18"/>
    <tableColumn id="19" xr3:uid="{00000000-0010-0000-0000-000013000000}" name="Scale Notes" dataDxfId="17"/>
    <tableColumn id="20" xr3:uid="{00000000-0010-0000-0000-000014000000}" name="Growth Notes" dataDxfId="16"/>
    <tableColumn id="21" xr3:uid="{00000000-0010-0000-0000-000015000000}" name="Profitability Notes" dataDxfId="15"/>
    <tableColumn id="22" xr3:uid="{00000000-0010-0000-0000-000016000000}" name="Revenue Model Notes" dataDxfId="14"/>
    <tableColumn id="23" xr3:uid="{00000000-0010-0000-0000-000017000000}" name="Ownership Dynamic Notes" dataDxfId="13"/>
    <tableColumn id="24" xr3:uid="{00000000-0010-0000-0000-000018000000}" name="Concentrations Notes" dataDxfId="12"/>
    <tableColumn id="25" xr3:uid="{00000000-0010-0000-0000-000019000000}" name="Capital Structure Notes" dataDxfId="11"/>
    <tableColumn id="26" xr3:uid="{00000000-0010-0000-0000-00001A000000}" name="Invested Capital ($)" dataDxfId="10"/>
    <tableColumn id="27" xr3:uid="{00000000-0010-0000-0000-00001B000000}" name="Description" dataDxfId="9"/>
    <tableColumn id="28" xr3:uid="{00000000-0010-0000-0000-00001C000000}" name="Employees (SS)" dataDxfId="8"/>
    <tableColumn id="29" xr3:uid="{00000000-0010-0000-0000-00001D000000}" name="Latest Raised (SS)" dataDxfId="7"/>
    <tableColumn id="30" xr3:uid="{00000000-0010-0000-0000-00001E000000}" name="Latest Raised Date (SS)" dataDxfId="6"/>
    <tableColumn id="31" xr3:uid="{00000000-0010-0000-0000-00001F000000}" name="Total Raised (SS)" dataDxfId="5"/>
    <tableColumn id="32" xr3:uid="{00000000-0010-0000-0000-000020000000}" name="Ownership (SS)" dataDxfId="4"/>
    <tableColumn id="34" xr3:uid="{00000000-0010-0000-0000-000022000000}" name="Website" dataDxfId="3"/>
    <tableColumn id="38" xr3:uid="{9280D4AC-C314-0F40-96A9-325E1158FB61}" name="HQ" dataDxfId="2"/>
    <tableColumn id="36" xr3:uid="{17CF8313-2E40-7E4B-A5CA-02C94CF909FA}" name="Count by Upgraded" dataDxfId="1">
      <calculatedColumnFormula>COUNTIF(Fives[Upgraded By],Fives[[#This Row],[Upgraded By]])</calculatedColumnFormula>
    </tableColumn>
    <tableColumn id="37" xr3:uid="{54A5F48F-9ECA-CB49-B713-C3FB79780F80}" name="Upgraded by Combined" dataDxfId="0">
      <calculatedColumnFormula>IF(Fives[[#This Row],[Split Credit]]="",Fives[[#This Row],[Upgraded By]],IF(ISNUMBER(FIND(Fives[[#This Row],[Upgraded By]],Fives[[#This Row],[Split Credit]])),Fives[[#This Row],[Split Credit]],Fives[[#This Row],[Upgraded By]]&amp;"; "&amp;Fives[[#This Row],[Split Credit]]))</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7.vml"/><Relationship Id="rId1" Type="http://schemas.openxmlformats.org/officeDocument/2006/relationships/drawing" Target="../drawings/drawing8.xml"/><Relationship Id="rId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9.xml"/><Relationship Id="rId4"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10.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2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1.vml"/><Relationship Id="rId1" Type="http://schemas.openxmlformats.org/officeDocument/2006/relationships/drawing" Target="../drawings/drawing12.xml"/><Relationship Id="rId4" Type="http://schemas.openxmlformats.org/officeDocument/2006/relationships/ctrlProp" Target="../ctrlProps/ctrlProp2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2.vml"/><Relationship Id="rId1" Type="http://schemas.openxmlformats.org/officeDocument/2006/relationships/drawing" Target="../drawings/drawing13.xml"/><Relationship Id="rId4" Type="http://schemas.openxmlformats.org/officeDocument/2006/relationships/ctrlProp" Target="../ctrlProps/ctrlProp24.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3.vml"/><Relationship Id="rId1" Type="http://schemas.openxmlformats.org/officeDocument/2006/relationships/drawing" Target="../drawings/drawing14.xml"/><Relationship Id="rId4" Type="http://schemas.openxmlformats.org/officeDocument/2006/relationships/ctrlProp" Target="../ctrlProps/ctrlProp26.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4.vml"/><Relationship Id="rId1" Type="http://schemas.openxmlformats.org/officeDocument/2006/relationships/drawing" Target="../drawings/drawing15.xml"/><Relationship Id="rId4" Type="http://schemas.openxmlformats.org/officeDocument/2006/relationships/ctrlProp" Target="../ctrlProps/ctrlProp28.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5.vml"/><Relationship Id="rId1" Type="http://schemas.openxmlformats.org/officeDocument/2006/relationships/drawing" Target="../drawings/drawing16.xml"/><Relationship Id="rId4" Type="http://schemas.openxmlformats.org/officeDocument/2006/relationships/ctrlProp" Target="../ctrlProps/ctrlProp30.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16.vml"/><Relationship Id="rId1" Type="http://schemas.openxmlformats.org/officeDocument/2006/relationships/drawing" Target="../drawings/drawing17.xml"/><Relationship Id="rId4" Type="http://schemas.openxmlformats.org/officeDocument/2006/relationships/ctrlProp" Target="../ctrlProps/ctrlProp32.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17.vml"/><Relationship Id="rId1" Type="http://schemas.openxmlformats.org/officeDocument/2006/relationships/drawing" Target="../drawings/drawing18.xml"/><Relationship Id="rId4" Type="http://schemas.openxmlformats.org/officeDocument/2006/relationships/ctrlProp" Target="../ctrlProps/ctrlProp34.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18.vml"/><Relationship Id="rId1" Type="http://schemas.openxmlformats.org/officeDocument/2006/relationships/drawing" Target="../drawings/drawing19.xml"/><Relationship Id="rId4" Type="http://schemas.openxmlformats.org/officeDocument/2006/relationships/ctrlProp" Target="../ctrlProps/ctrlProp36.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19.vml"/><Relationship Id="rId1" Type="http://schemas.openxmlformats.org/officeDocument/2006/relationships/drawing" Target="../drawings/drawing20.xml"/><Relationship Id="rId4" Type="http://schemas.openxmlformats.org/officeDocument/2006/relationships/ctrlProp" Target="../ctrlProps/ctrlProp38.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40.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21.vml"/><Relationship Id="rId1" Type="http://schemas.openxmlformats.org/officeDocument/2006/relationships/drawing" Target="../drawings/drawing22.xml"/><Relationship Id="rId4" Type="http://schemas.openxmlformats.org/officeDocument/2006/relationships/ctrlProp" Target="../ctrlProps/ctrlProp42.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43.xml"/><Relationship Id="rId2" Type="http://schemas.openxmlformats.org/officeDocument/2006/relationships/vmlDrawing" Target="../drawings/vmlDrawing22.vml"/><Relationship Id="rId1" Type="http://schemas.openxmlformats.org/officeDocument/2006/relationships/drawing" Target="../drawings/drawing23.xml"/><Relationship Id="rId4" Type="http://schemas.openxmlformats.org/officeDocument/2006/relationships/ctrlProp" Target="../ctrlProps/ctrlProp44.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45.xml"/><Relationship Id="rId2" Type="http://schemas.openxmlformats.org/officeDocument/2006/relationships/vmlDrawing" Target="../drawings/vmlDrawing23.vml"/><Relationship Id="rId1" Type="http://schemas.openxmlformats.org/officeDocument/2006/relationships/drawing" Target="../drawings/drawing24.xml"/><Relationship Id="rId4" Type="http://schemas.openxmlformats.org/officeDocument/2006/relationships/ctrlProp" Target="../ctrlProps/ctrlProp46.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24.vml"/><Relationship Id="rId1" Type="http://schemas.openxmlformats.org/officeDocument/2006/relationships/drawing" Target="../drawings/drawing25.xml"/><Relationship Id="rId4" Type="http://schemas.openxmlformats.org/officeDocument/2006/relationships/ctrlProp" Target="../ctrlProps/ctrlProp48.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49.xml"/><Relationship Id="rId2" Type="http://schemas.openxmlformats.org/officeDocument/2006/relationships/vmlDrawing" Target="../drawings/vmlDrawing25.vml"/><Relationship Id="rId1" Type="http://schemas.openxmlformats.org/officeDocument/2006/relationships/drawing" Target="../drawings/drawing26.xml"/><Relationship Id="rId4" Type="http://schemas.openxmlformats.org/officeDocument/2006/relationships/ctrlProp" Target="../ctrlProps/ctrlProp50.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26.vml"/><Relationship Id="rId1" Type="http://schemas.openxmlformats.org/officeDocument/2006/relationships/drawing" Target="../drawings/drawing27.xml"/><Relationship Id="rId4" Type="http://schemas.openxmlformats.org/officeDocument/2006/relationships/ctrlProp" Target="../ctrlProps/ctrlProp52.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27.vml"/><Relationship Id="rId1" Type="http://schemas.openxmlformats.org/officeDocument/2006/relationships/drawing" Target="../drawings/drawing28.xml"/><Relationship Id="rId4" Type="http://schemas.openxmlformats.org/officeDocument/2006/relationships/ctrlProp" Target="../ctrlProps/ctrlProp54.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28.vml"/><Relationship Id="rId1" Type="http://schemas.openxmlformats.org/officeDocument/2006/relationships/drawing" Target="../drawings/drawing29.xml"/><Relationship Id="rId4" Type="http://schemas.openxmlformats.org/officeDocument/2006/relationships/ctrlProp" Target="../ctrlProps/ctrlProp56.xml"/></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29.vml"/><Relationship Id="rId1" Type="http://schemas.openxmlformats.org/officeDocument/2006/relationships/drawing" Target="../drawings/drawing30.xml"/><Relationship Id="rId4" Type="http://schemas.openxmlformats.org/officeDocument/2006/relationships/ctrlProp" Target="../ctrlProps/ctrlProp58.x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59.xml"/><Relationship Id="rId2" Type="http://schemas.openxmlformats.org/officeDocument/2006/relationships/vmlDrawing" Target="../drawings/vmlDrawing30.vml"/><Relationship Id="rId1" Type="http://schemas.openxmlformats.org/officeDocument/2006/relationships/drawing" Target="../drawings/drawing31.xml"/><Relationship Id="rId4" Type="http://schemas.openxmlformats.org/officeDocument/2006/relationships/ctrlProp" Target="../ctrlProps/ctrlProp60.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31.vml"/><Relationship Id="rId1" Type="http://schemas.openxmlformats.org/officeDocument/2006/relationships/drawing" Target="../drawings/drawing32.xml"/><Relationship Id="rId4" Type="http://schemas.openxmlformats.org/officeDocument/2006/relationships/ctrlProp" Target="../ctrlProps/ctrlProp62.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63.xml"/><Relationship Id="rId2" Type="http://schemas.openxmlformats.org/officeDocument/2006/relationships/vmlDrawing" Target="../drawings/vmlDrawing32.vml"/><Relationship Id="rId1" Type="http://schemas.openxmlformats.org/officeDocument/2006/relationships/drawing" Target="../drawings/drawing33.xml"/><Relationship Id="rId4" Type="http://schemas.openxmlformats.org/officeDocument/2006/relationships/ctrlProp" Target="../ctrlProps/ctrlProp64.xml"/></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65.xml"/><Relationship Id="rId2" Type="http://schemas.openxmlformats.org/officeDocument/2006/relationships/vmlDrawing" Target="../drawings/vmlDrawing33.vml"/><Relationship Id="rId1" Type="http://schemas.openxmlformats.org/officeDocument/2006/relationships/drawing" Target="../drawings/drawing34.xml"/><Relationship Id="rId4" Type="http://schemas.openxmlformats.org/officeDocument/2006/relationships/ctrlProp" Target="../ctrlProps/ctrlProp66.xml"/></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67.xml"/><Relationship Id="rId2" Type="http://schemas.openxmlformats.org/officeDocument/2006/relationships/vmlDrawing" Target="../drawings/vmlDrawing34.vml"/><Relationship Id="rId1" Type="http://schemas.openxmlformats.org/officeDocument/2006/relationships/drawing" Target="../drawings/drawing35.xml"/><Relationship Id="rId4" Type="http://schemas.openxmlformats.org/officeDocument/2006/relationships/ctrlProp" Target="../ctrlProps/ctrlProp68.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69.xml"/><Relationship Id="rId2" Type="http://schemas.openxmlformats.org/officeDocument/2006/relationships/vmlDrawing" Target="../drawings/vmlDrawing35.vml"/><Relationship Id="rId1" Type="http://schemas.openxmlformats.org/officeDocument/2006/relationships/drawing" Target="../drawings/drawing36.xml"/><Relationship Id="rId4" Type="http://schemas.openxmlformats.org/officeDocument/2006/relationships/ctrlProp" Target="../ctrlProps/ctrlProp70.xml"/></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71.xml"/><Relationship Id="rId2" Type="http://schemas.openxmlformats.org/officeDocument/2006/relationships/vmlDrawing" Target="../drawings/vmlDrawing36.vml"/><Relationship Id="rId1" Type="http://schemas.openxmlformats.org/officeDocument/2006/relationships/drawing" Target="../drawings/drawing37.xml"/><Relationship Id="rId4" Type="http://schemas.openxmlformats.org/officeDocument/2006/relationships/ctrlProp" Target="../ctrlProps/ctrlProp72.xml"/></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73.xml"/><Relationship Id="rId2" Type="http://schemas.openxmlformats.org/officeDocument/2006/relationships/vmlDrawing" Target="../drawings/vmlDrawing37.vml"/><Relationship Id="rId1" Type="http://schemas.openxmlformats.org/officeDocument/2006/relationships/drawing" Target="../drawings/drawing38.xml"/><Relationship Id="rId4" Type="http://schemas.openxmlformats.org/officeDocument/2006/relationships/ctrlProp" Target="../ctrlProps/ctrlProp74.xml"/></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75.xml"/><Relationship Id="rId2" Type="http://schemas.openxmlformats.org/officeDocument/2006/relationships/vmlDrawing" Target="../drawings/vmlDrawing38.vml"/><Relationship Id="rId1" Type="http://schemas.openxmlformats.org/officeDocument/2006/relationships/drawing" Target="../drawings/drawing39.xml"/><Relationship Id="rId4" Type="http://schemas.openxmlformats.org/officeDocument/2006/relationships/ctrlProp" Target="../ctrlProps/ctrlProp76.xml"/></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77.xml"/><Relationship Id="rId2" Type="http://schemas.openxmlformats.org/officeDocument/2006/relationships/vmlDrawing" Target="../drawings/vmlDrawing39.vml"/><Relationship Id="rId1" Type="http://schemas.openxmlformats.org/officeDocument/2006/relationships/drawing" Target="../drawings/drawing40.xml"/><Relationship Id="rId4" Type="http://schemas.openxmlformats.org/officeDocument/2006/relationships/ctrlProp" Target="../ctrlProps/ctrlProp78.xml"/></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79.xml"/><Relationship Id="rId2" Type="http://schemas.openxmlformats.org/officeDocument/2006/relationships/vmlDrawing" Target="../drawings/vmlDrawing40.vml"/><Relationship Id="rId1" Type="http://schemas.openxmlformats.org/officeDocument/2006/relationships/drawing" Target="../drawings/drawing41.xml"/><Relationship Id="rId4" Type="http://schemas.openxmlformats.org/officeDocument/2006/relationships/ctrlProp" Target="../ctrlProps/ctrlProp80.xml"/></Relationships>
</file>

<file path=xl/worksheets/_rels/sheet42.xml.rels><?xml version="1.0" encoding="UTF-8" standalone="yes"?>
<Relationships xmlns="http://schemas.openxmlformats.org/package/2006/relationships"><Relationship Id="rId3" Type="http://schemas.openxmlformats.org/officeDocument/2006/relationships/ctrlProp" Target="../ctrlProps/ctrlProp81.xml"/><Relationship Id="rId2" Type="http://schemas.openxmlformats.org/officeDocument/2006/relationships/vmlDrawing" Target="../drawings/vmlDrawing41.vml"/><Relationship Id="rId1" Type="http://schemas.openxmlformats.org/officeDocument/2006/relationships/drawing" Target="../drawings/drawing42.xml"/><Relationship Id="rId4" Type="http://schemas.openxmlformats.org/officeDocument/2006/relationships/ctrlProp" Target="../ctrlProps/ctrlProp82.xml"/></Relationships>
</file>

<file path=xl/worksheets/_rels/sheet43.xml.rels><?xml version="1.0" encoding="UTF-8" standalone="yes"?>
<Relationships xmlns="http://schemas.openxmlformats.org/package/2006/relationships"><Relationship Id="rId3" Type="http://schemas.openxmlformats.org/officeDocument/2006/relationships/ctrlProp" Target="../ctrlProps/ctrlProp83.xml"/><Relationship Id="rId2" Type="http://schemas.openxmlformats.org/officeDocument/2006/relationships/vmlDrawing" Target="../drawings/vmlDrawing42.vml"/><Relationship Id="rId1" Type="http://schemas.openxmlformats.org/officeDocument/2006/relationships/drawing" Target="../drawings/drawing43.xml"/><Relationship Id="rId4" Type="http://schemas.openxmlformats.org/officeDocument/2006/relationships/ctrlProp" Target="../ctrlProps/ctrlProp84.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85.xml"/><Relationship Id="rId2" Type="http://schemas.openxmlformats.org/officeDocument/2006/relationships/vmlDrawing" Target="../drawings/vmlDrawing43.vml"/><Relationship Id="rId1" Type="http://schemas.openxmlformats.org/officeDocument/2006/relationships/drawing" Target="../drawings/drawing44.xml"/><Relationship Id="rId4" Type="http://schemas.openxmlformats.org/officeDocument/2006/relationships/ctrlProp" Target="../ctrlProps/ctrlProp86.xml"/></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87.xml"/><Relationship Id="rId2" Type="http://schemas.openxmlformats.org/officeDocument/2006/relationships/vmlDrawing" Target="../drawings/vmlDrawing44.vml"/><Relationship Id="rId1" Type="http://schemas.openxmlformats.org/officeDocument/2006/relationships/drawing" Target="../drawings/drawing45.xml"/><Relationship Id="rId4" Type="http://schemas.openxmlformats.org/officeDocument/2006/relationships/ctrlProp" Target="../ctrlProps/ctrlProp88.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89.xml"/><Relationship Id="rId2" Type="http://schemas.openxmlformats.org/officeDocument/2006/relationships/vmlDrawing" Target="../drawings/vmlDrawing45.vml"/><Relationship Id="rId1" Type="http://schemas.openxmlformats.org/officeDocument/2006/relationships/drawing" Target="../drawings/drawing46.xml"/><Relationship Id="rId4" Type="http://schemas.openxmlformats.org/officeDocument/2006/relationships/ctrlProp" Target="../ctrlProps/ctrlProp90.xml"/></Relationships>
</file>

<file path=xl/worksheets/_rels/sheet47.xml.rels><?xml version="1.0" encoding="UTF-8" standalone="yes"?>
<Relationships xmlns="http://schemas.openxmlformats.org/package/2006/relationships"><Relationship Id="rId3" Type="http://schemas.openxmlformats.org/officeDocument/2006/relationships/ctrlProp" Target="../ctrlProps/ctrlProp91.xml"/><Relationship Id="rId2" Type="http://schemas.openxmlformats.org/officeDocument/2006/relationships/vmlDrawing" Target="../drawings/vmlDrawing46.vml"/><Relationship Id="rId1" Type="http://schemas.openxmlformats.org/officeDocument/2006/relationships/drawing" Target="../drawings/drawing47.xml"/><Relationship Id="rId4" Type="http://schemas.openxmlformats.org/officeDocument/2006/relationships/ctrlProp" Target="../ctrlProps/ctrlProp92.xml"/></Relationships>
</file>

<file path=xl/worksheets/_rels/sheet48.xml.rels><?xml version="1.0" encoding="UTF-8" standalone="yes"?>
<Relationships xmlns="http://schemas.openxmlformats.org/package/2006/relationships"><Relationship Id="rId3" Type="http://schemas.openxmlformats.org/officeDocument/2006/relationships/ctrlProp" Target="../ctrlProps/ctrlProp93.xml"/><Relationship Id="rId2" Type="http://schemas.openxmlformats.org/officeDocument/2006/relationships/vmlDrawing" Target="../drawings/vmlDrawing47.vml"/><Relationship Id="rId1" Type="http://schemas.openxmlformats.org/officeDocument/2006/relationships/drawing" Target="../drawings/drawing48.xml"/><Relationship Id="rId4" Type="http://schemas.openxmlformats.org/officeDocument/2006/relationships/ctrlProp" Target="../ctrlProps/ctrlProp94.xml"/></Relationships>
</file>

<file path=xl/worksheets/_rels/sheet49.xml.rels><?xml version="1.0" encoding="UTF-8" standalone="yes"?>
<Relationships xmlns="http://schemas.openxmlformats.org/package/2006/relationships"><Relationship Id="rId3" Type="http://schemas.openxmlformats.org/officeDocument/2006/relationships/ctrlProp" Target="../ctrlProps/ctrlProp95.xml"/><Relationship Id="rId2" Type="http://schemas.openxmlformats.org/officeDocument/2006/relationships/vmlDrawing" Target="../drawings/vmlDrawing48.vml"/><Relationship Id="rId1" Type="http://schemas.openxmlformats.org/officeDocument/2006/relationships/drawing" Target="../drawings/drawing49.xml"/><Relationship Id="rId4" Type="http://schemas.openxmlformats.org/officeDocument/2006/relationships/ctrlProp" Target="../ctrlProps/ctrlProp96.xml"/></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97.xml"/><Relationship Id="rId2" Type="http://schemas.openxmlformats.org/officeDocument/2006/relationships/vmlDrawing" Target="../drawings/vmlDrawing49.vml"/><Relationship Id="rId1" Type="http://schemas.openxmlformats.org/officeDocument/2006/relationships/drawing" Target="../drawings/drawing50.xml"/><Relationship Id="rId4" Type="http://schemas.openxmlformats.org/officeDocument/2006/relationships/ctrlProp" Target="../ctrlProps/ctrlProp98.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1:H36"/>
  <sheetViews>
    <sheetView showGridLines="0" topLeftCell="A4" zoomScale="34" zoomScaleNormal="40" workbookViewId="0">
      <selection activeCell="B9" sqref="B9"/>
    </sheetView>
  </sheetViews>
  <sheetFormatPr defaultColWidth="7.6640625" defaultRowHeight="12.25" x14ac:dyDescent="0.65"/>
  <cols>
    <col min="1" max="1" width="5.1640625" style="1" customWidth="1"/>
    <col min="2" max="2" width="5" style="6" customWidth="1"/>
    <col min="3" max="3" width="38" style="1" customWidth="1"/>
    <col min="4" max="4" width="56.6640625" style="1" customWidth="1"/>
    <col min="5" max="5" width="5.33203125" style="1" customWidth="1"/>
    <col min="6" max="6" width="5" style="1" customWidth="1"/>
    <col min="7" max="7" width="45" style="1" customWidth="1"/>
    <col min="8" max="8" width="39.33203125" style="1" customWidth="1"/>
    <col min="9" max="16384" width="7.6640625" style="1"/>
  </cols>
  <sheetData>
    <row r="1" spans="2:8" ht="30" customHeight="1" x14ac:dyDescent="0.65"/>
    <row r="6" spans="2:8" ht="36" customHeight="1" x14ac:dyDescent="0.65"/>
    <row r="7" spans="2:8" ht="13" customHeight="1" x14ac:dyDescent="0.65"/>
    <row r="8" spans="2:8" ht="35" x14ac:dyDescent="1.4">
      <c r="B8" s="11" t="s">
        <v>54</v>
      </c>
      <c r="G8" s="32" t="s">
        <v>112</v>
      </c>
    </row>
    <row r="9" spans="2:8" ht="25" x14ac:dyDescent="0.65">
      <c r="B9" s="30" t="str">
        <f ca="1">"Week of "&amp;TEXT(TODAY(),"M/D/YYYY")</f>
        <v>Week of 3/26/2024</v>
      </c>
    </row>
    <row r="10" spans="2:8" ht="21" x14ac:dyDescent="1">
      <c r="B10" s="12"/>
      <c r="C10" s="13"/>
      <c r="D10" s="13"/>
    </row>
    <row r="11" spans="2:8" ht="16" x14ac:dyDescent="0.8">
      <c r="B11" s="5"/>
      <c r="C11"/>
    </row>
    <row r="12" spans="2:8" ht="21" x14ac:dyDescent="1">
      <c r="B12" s="24" t="s">
        <v>48</v>
      </c>
      <c r="C12" s="25" t="s">
        <v>3</v>
      </c>
      <c r="D12" s="26" t="s">
        <v>35</v>
      </c>
      <c r="F12" s="24" t="s">
        <v>48</v>
      </c>
      <c r="G12" s="25" t="s">
        <v>3</v>
      </c>
      <c r="H12" s="26" t="s">
        <v>35</v>
      </c>
    </row>
    <row r="13" spans="2:8" ht="21" x14ac:dyDescent="1">
      <c r="B13" s="12">
        <v>1</v>
      </c>
      <c r="C13" s="13" t="s">
        <v>63</v>
      </c>
      <c r="D13" s="13" t="s">
        <v>64</v>
      </c>
      <c r="F13" s="12">
        <v>25</v>
      </c>
      <c r="G13" s="13" t="s">
        <v>134</v>
      </c>
      <c r="H13" s="13" t="s">
        <v>64</v>
      </c>
    </row>
    <row r="14" spans="2:8" ht="21" x14ac:dyDescent="1">
      <c r="B14" s="12">
        <v>2</v>
      </c>
      <c r="C14" s="13" t="s">
        <v>78</v>
      </c>
      <c r="D14" s="13" t="s">
        <v>64</v>
      </c>
      <c r="F14" s="12">
        <v>26</v>
      </c>
      <c r="G14" s="13" t="s">
        <v>135</v>
      </c>
      <c r="H14" s="13" t="s">
        <v>64</v>
      </c>
    </row>
    <row r="15" spans="2:8" ht="21" x14ac:dyDescent="1">
      <c r="B15" s="12">
        <v>3</v>
      </c>
      <c r="C15" s="13" t="s">
        <v>92</v>
      </c>
      <c r="D15" s="13" t="s">
        <v>163</v>
      </c>
      <c r="F15" s="12">
        <v>27</v>
      </c>
      <c r="G15" s="13" t="s">
        <v>136</v>
      </c>
      <c r="H15" s="13" t="s">
        <v>64</v>
      </c>
    </row>
    <row r="16" spans="2:8" ht="21" x14ac:dyDescent="1">
      <c r="B16" s="12">
        <v>4</v>
      </c>
      <c r="C16" s="13" t="s">
        <v>104</v>
      </c>
      <c r="D16" s="13" t="s">
        <v>64</v>
      </c>
      <c r="F16" s="12">
        <v>28</v>
      </c>
      <c r="G16" s="13" t="s">
        <v>137</v>
      </c>
      <c r="H16" s="13" t="s">
        <v>64</v>
      </c>
    </row>
    <row r="17" spans="2:8" ht="21" x14ac:dyDescent="1">
      <c r="B17" s="12">
        <v>5</v>
      </c>
      <c r="C17" s="13" t="s">
        <v>114</v>
      </c>
      <c r="D17" s="13" t="s">
        <v>166</v>
      </c>
      <c r="F17" s="12">
        <v>29</v>
      </c>
      <c r="G17" s="13" t="s">
        <v>138</v>
      </c>
      <c r="H17" s="13" t="s">
        <v>64</v>
      </c>
    </row>
    <row r="18" spans="2:8" ht="21" x14ac:dyDescent="1">
      <c r="B18" s="12">
        <v>6</v>
      </c>
      <c r="C18" s="13" t="s">
        <v>115</v>
      </c>
      <c r="D18" s="13" t="s">
        <v>167</v>
      </c>
      <c r="F18" s="12">
        <v>30</v>
      </c>
      <c r="G18" s="13" t="s">
        <v>139</v>
      </c>
      <c r="H18" s="13" t="s">
        <v>64</v>
      </c>
    </row>
    <row r="19" spans="2:8" ht="21" x14ac:dyDescent="1">
      <c r="B19" s="12">
        <v>7</v>
      </c>
      <c r="C19" s="13" t="s">
        <v>116</v>
      </c>
      <c r="D19" s="13" t="s">
        <v>64</v>
      </c>
      <c r="F19" s="12">
        <v>31</v>
      </c>
      <c r="G19" s="13" t="s">
        <v>140</v>
      </c>
      <c r="H19" s="13" t="s">
        <v>64</v>
      </c>
    </row>
    <row r="20" spans="2:8" ht="21" x14ac:dyDescent="1">
      <c r="B20" s="12">
        <v>8</v>
      </c>
      <c r="C20" s="13" t="s">
        <v>117</v>
      </c>
      <c r="D20" s="13" t="s">
        <v>64</v>
      </c>
      <c r="F20" s="12">
        <v>32</v>
      </c>
      <c r="G20" s="13" t="s">
        <v>141</v>
      </c>
      <c r="H20" s="13" t="s">
        <v>64</v>
      </c>
    </row>
    <row r="21" spans="2:8" ht="21" x14ac:dyDescent="1">
      <c r="B21" s="12">
        <v>9</v>
      </c>
      <c r="C21" s="13" t="s">
        <v>118</v>
      </c>
      <c r="D21" s="13" t="s">
        <v>164</v>
      </c>
      <c r="F21" s="12">
        <v>33</v>
      </c>
      <c r="G21" s="13" t="s">
        <v>142</v>
      </c>
      <c r="H21" s="13" t="s">
        <v>64</v>
      </c>
    </row>
    <row r="22" spans="2:8" ht="21" x14ac:dyDescent="1">
      <c r="B22" s="12">
        <v>10</v>
      </c>
      <c r="C22" s="13" t="s">
        <v>119</v>
      </c>
      <c r="D22" s="13" t="s">
        <v>165</v>
      </c>
      <c r="F22" s="12">
        <v>34</v>
      </c>
      <c r="G22" s="13" t="s">
        <v>143</v>
      </c>
      <c r="H22" s="13" t="s">
        <v>64</v>
      </c>
    </row>
    <row r="23" spans="2:8" ht="21" x14ac:dyDescent="1">
      <c r="B23" s="12">
        <v>11</v>
      </c>
      <c r="C23" s="13" t="s">
        <v>120</v>
      </c>
      <c r="D23" s="13" t="s">
        <v>64</v>
      </c>
      <c r="F23" s="12">
        <v>35</v>
      </c>
      <c r="G23" s="13" t="s">
        <v>144</v>
      </c>
      <c r="H23" s="13" t="s">
        <v>64</v>
      </c>
    </row>
    <row r="24" spans="2:8" ht="21" x14ac:dyDescent="1">
      <c r="B24" s="12">
        <v>12</v>
      </c>
      <c r="C24" s="13" t="s">
        <v>121</v>
      </c>
      <c r="D24" s="13" t="s">
        <v>64</v>
      </c>
      <c r="F24" s="12">
        <v>36</v>
      </c>
      <c r="G24" s="13" t="s">
        <v>145</v>
      </c>
      <c r="H24" s="13" t="s">
        <v>64</v>
      </c>
    </row>
    <row r="25" spans="2:8" ht="21" x14ac:dyDescent="1">
      <c r="B25" s="12">
        <v>13</v>
      </c>
      <c r="C25" s="13" t="s">
        <v>122</v>
      </c>
      <c r="D25" s="13" t="s">
        <v>168</v>
      </c>
      <c r="F25" s="1">
        <v>37</v>
      </c>
      <c r="G25" s="1" t="s">
        <v>146</v>
      </c>
      <c r="H25" s="1" t="s">
        <v>64</v>
      </c>
    </row>
    <row r="26" spans="2:8" ht="21" x14ac:dyDescent="1">
      <c r="B26" s="12">
        <v>14</v>
      </c>
      <c r="C26" s="13" t="s">
        <v>124</v>
      </c>
      <c r="D26" s="13" t="s">
        <v>161</v>
      </c>
      <c r="F26" s="1">
        <v>38</v>
      </c>
      <c r="G26" s="1" t="s">
        <v>147</v>
      </c>
      <c r="H26" s="1" t="s">
        <v>158</v>
      </c>
    </row>
    <row r="27" spans="2:8" ht="21" x14ac:dyDescent="1">
      <c r="B27" s="12">
        <v>15</v>
      </c>
      <c r="C27" s="13" t="s">
        <v>125</v>
      </c>
      <c r="D27" s="13" t="s">
        <v>64</v>
      </c>
      <c r="F27" s="1">
        <v>39</v>
      </c>
      <c r="G27" s="1" t="s">
        <v>148</v>
      </c>
      <c r="H27" s="1" t="s">
        <v>64</v>
      </c>
    </row>
    <row r="28" spans="2:8" ht="21" x14ac:dyDescent="1">
      <c r="B28" s="12">
        <v>16</v>
      </c>
      <c r="C28" s="13" t="s">
        <v>126</v>
      </c>
      <c r="D28" s="13" t="s">
        <v>64</v>
      </c>
      <c r="F28" s="1">
        <v>40</v>
      </c>
      <c r="G28" s="1" t="s">
        <v>149</v>
      </c>
      <c r="H28" s="1" t="s">
        <v>159</v>
      </c>
    </row>
    <row r="29" spans="2:8" ht="21" x14ac:dyDescent="1">
      <c r="B29" s="12">
        <v>17</v>
      </c>
      <c r="C29" s="1" t="s">
        <v>127</v>
      </c>
      <c r="D29" s="1" t="s">
        <v>64</v>
      </c>
      <c r="F29" s="1">
        <v>41</v>
      </c>
      <c r="G29" s="1" t="s">
        <v>150</v>
      </c>
      <c r="H29" s="1" t="s">
        <v>64</v>
      </c>
    </row>
    <row r="30" spans="2:8" ht="21" x14ac:dyDescent="1">
      <c r="B30" s="12">
        <v>18</v>
      </c>
      <c r="C30" s="1" t="s">
        <v>123</v>
      </c>
      <c r="D30" s="1" t="s">
        <v>160</v>
      </c>
      <c r="F30" s="1">
        <v>42</v>
      </c>
      <c r="G30" s="1" t="s">
        <v>151</v>
      </c>
      <c r="H30" s="1" t="s">
        <v>64</v>
      </c>
    </row>
    <row r="31" spans="2:8" ht="22" customHeight="1" x14ac:dyDescent="0.65">
      <c r="B31" s="6">
        <v>19</v>
      </c>
      <c r="C31" s="1" t="s">
        <v>128</v>
      </c>
      <c r="D31" s="1" t="s">
        <v>64</v>
      </c>
      <c r="F31" s="1">
        <v>43</v>
      </c>
      <c r="G31" s="1" t="s">
        <v>152</v>
      </c>
      <c r="H31" s="1" t="s">
        <v>64</v>
      </c>
    </row>
    <row r="32" spans="2:8" x14ac:dyDescent="0.65">
      <c r="B32" s="6">
        <v>20</v>
      </c>
      <c r="C32" s="1" t="s">
        <v>129</v>
      </c>
      <c r="D32" s="1" t="s">
        <v>64</v>
      </c>
      <c r="F32" s="1">
        <v>44</v>
      </c>
      <c r="G32" s="1" t="s">
        <v>153</v>
      </c>
      <c r="H32" s="1" t="s">
        <v>64</v>
      </c>
    </row>
    <row r="33" spans="2:8" x14ac:dyDescent="0.65">
      <c r="B33" s="6">
        <v>21</v>
      </c>
      <c r="C33" s="1" t="s">
        <v>130</v>
      </c>
      <c r="D33" s="1" t="s">
        <v>64</v>
      </c>
      <c r="F33" s="1">
        <v>45</v>
      </c>
      <c r="G33" s="1" t="s">
        <v>154</v>
      </c>
      <c r="H33" s="1" t="s">
        <v>64</v>
      </c>
    </row>
    <row r="34" spans="2:8" x14ac:dyDescent="0.65">
      <c r="B34" s="6">
        <v>22</v>
      </c>
      <c r="C34" s="1" t="s">
        <v>131</v>
      </c>
      <c r="D34" s="1" t="s">
        <v>64</v>
      </c>
      <c r="F34" s="1">
        <v>46</v>
      </c>
      <c r="G34" s="1" t="s">
        <v>155</v>
      </c>
      <c r="H34" s="1" t="s">
        <v>64</v>
      </c>
    </row>
    <row r="35" spans="2:8" x14ac:dyDescent="0.65">
      <c r="B35" s="6">
        <v>23</v>
      </c>
      <c r="C35" s="1" t="s">
        <v>132</v>
      </c>
      <c r="D35" s="1" t="s">
        <v>64</v>
      </c>
      <c r="F35" s="1">
        <v>47</v>
      </c>
      <c r="G35" s="1" t="s">
        <v>156</v>
      </c>
      <c r="H35" s="1" t="s">
        <v>64</v>
      </c>
    </row>
    <row r="36" spans="2:8" x14ac:dyDescent="0.65">
      <c r="B36" s="6">
        <v>24</v>
      </c>
      <c r="C36" s="1" t="s">
        <v>133</v>
      </c>
      <c r="D36" s="1" t="s">
        <v>162</v>
      </c>
      <c r="F36" s="1">
        <v>48</v>
      </c>
      <c r="G36" s="1" t="s">
        <v>157</v>
      </c>
      <c r="H36" s="1" t="s">
        <v>64</v>
      </c>
    </row>
  </sheetData>
  <sheetProtection sort="0" autoFilter="0"/>
  <dataConsolidate link="1"/>
  <pageMargins left="0.5" right="0.5" top="2.7" bottom="0.85" header="0.3" footer="0.3"/>
  <pageSetup fitToWidth="0" fitToHeight="0"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13C6D-94CF-4A91-A088-FEF7A347067F}">
  <sheetPr codeName="Sheet53"/>
  <dimension ref="C1:ZX77"/>
  <sheetViews>
    <sheetView tabSelected="1" zoomScale="40" zoomScaleNormal="40" workbookViewId="0">
      <selection activeCell="G20" sqref="G20"/>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157</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110</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59</v>
      </c>
      <c r="E11" s="17"/>
      <c r="F11" s="15" t="s">
        <v>20</v>
      </c>
      <c r="G11" s="16" t="s">
        <v>108</v>
      </c>
      <c r="M11" s="3"/>
      <c r="N11" s="3"/>
    </row>
    <row r="12" spans="3:700" ht="19.25" x14ac:dyDescent="0.65">
      <c r="C12" s="15" t="s">
        <v>18</v>
      </c>
      <c r="D12" s="21" t="s">
        <v>106</v>
      </c>
      <c r="E12" s="17"/>
      <c r="F12" s="15" t="s">
        <v>21</v>
      </c>
      <c r="G12" s="16" t="s">
        <v>109</v>
      </c>
      <c r="M12" s="3"/>
      <c r="N12" s="3"/>
    </row>
    <row r="13" spans="3:700" ht="19.25" x14ac:dyDescent="0.65">
      <c r="C13" s="15" t="s">
        <v>19</v>
      </c>
      <c r="D13" s="22" t="s">
        <v>107</v>
      </c>
      <c r="E13" s="17"/>
      <c r="F13" s="15" t="s">
        <v>22</v>
      </c>
      <c r="G13" s="16" t="s">
        <v>58</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104</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111</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67649"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67650"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6BEED-1A20-47FA-BB3A-8522052FA7D9}">
  <sheetPr codeName="Sheet52"/>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156</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99</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94</v>
      </c>
      <c r="E11" s="17"/>
      <c r="F11" s="15" t="s">
        <v>20</v>
      </c>
      <c r="G11" s="16" t="s">
        <v>97</v>
      </c>
      <c r="M11" s="3"/>
      <c r="N11" s="3"/>
    </row>
    <row r="12" spans="3:700" ht="19.25" x14ac:dyDescent="0.65">
      <c r="C12" s="15" t="s">
        <v>18</v>
      </c>
      <c r="D12" s="21" t="s">
        <v>95</v>
      </c>
      <c r="E12" s="17"/>
      <c r="F12" s="15" t="s">
        <v>21</v>
      </c>
      <c r="G12" s="16" t="s">
        <v>98</v>
      </c>
      <c r="M12" s="3"/>
      <c r="N12" s="3"/>
    </row>
    <row r="13" spans="3:700" ht="19.25" x14ac:dyDescent="0.65">
      <c r="C13" s="15" t="s">
        <v>19</v>
      </c>
      <c r="D13" s="22" t="s">
        <v>96</v>
      </c>
      <c r="E13" s="17"/>
      <c r="F13" s="15" t="s">
        <v>22</v>
      </c>
      <c r="G13" s="16" t="s">
        <v>56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59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100</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66625"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66626"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AB352-550F-43F2-9EF6-7B48F6A120AE}">
  <sheetPr codeName="Sheet51"/>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155</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87</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57" x14ac:dyDescent="0.65">
      <c r="C11" s="15" t="s">
        <v>17</v>
      </c>
      <c r="D11" s="16" t="s">
        <v>81</v>
      </c>
      <c r="E11" s="17"/>
      <c r="F11" s="15" t="s">
        <v>20</v>
      </c>
      <c r="G11" s="16" t="s">
        <v>84</v>
      </c>
      <c r="M11" s="3"/>
      <c r="N11" s="3"/>
    </row>
    <row r="12" spans="3:700" ht="38" x14ac:dyDescent="0.65">
      <c r="C12" s="15" t="s">
        <v>18</v>
      </c>
      <c r="D12" s="21" t="s">
        <v>82</v>
      </c>
      <c r="E12" s="17"/>
      <c r="F12" s="15" t="s">
        <v>21</v>
      </c>
      <c r="G12" s="16" t="s">
        <v>85</v>
      </c>
      <c r="M12" s="3"/>
      <c r="N12" s="3"/>
    </row>
    <row r="13" spans="3:700" ht="19.25" x14ac:dyDescent="0.65">
      <c r="C13" s="15" t="s">
        <v>19</v>
      </c>
      <c r="D13" s="22" t="s">
        <v>83</v>
      </c>
      <c r="E13" s="17"/>
      <c r="F13" s="15" t="s">
        <v>22</v>
      </c>
      <c r="G13" s="16" t="s">
        <v>86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79</v>
      </c>
      <c r="E17" s="17"/>
      <c r="F17" s="15" t="s">
        <v>42</v>
      </c>
      <c r="G17" s="16">
        <v>109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88</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65601"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65602"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75101-13A9-4018-9936-D430CAD431F6}">
  <sheetPr codeName="Sheet50"/>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154</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73</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66</v>
      </c>
      <c r="E11" s="17"/>
      <c r="F11" s="15" t="s">
        <v>20</v>
      </c>
      <c r="G11" s="16" t="s">
        <v>69</v>
      </c>
      <c r="M11" s="3"/>
      <c r="N11" s="3"/>
    </row>
    <row r="12" spans="3:700" ht="19.25" x14ac:dyDescent="0.65">
      <c r="C12" s="15" t="s">
        <v>18</v>
      </c>
      <c r="D12" s="21" t="s">
        <v>67</v>
      </c>
      <c r="E12" s="17"/>
      <c r="F12" s="15" t="s">
        <v>21</v>
      </c>
      <c r="G12" s="16" t="s">
        <v>70</v>
      </c>
      <c r="M12" s="3"/>
      <c r="N12" s="3"/>
    </row>
    <row r="13" spans="3:700" ht="19.25" x14ac:dyDescent="0.65">
      <c r="C13" s="15" t="s">
        <v>19</v>
      </c>
      <c r="D13" s="22" t="s">
        <v>68</v>
      </c>
      <c r="E13" s="17"/>
      <c r="F13" s="15" t="s">
        <v>22</v>
      </c>
      <c r="G13" s="16" t="s">
        <v>71</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93</v>
      </c>
      <c r="M17" s="3"/>
      <c r="N17" s="3"/>
    </row>
    <row r="18" spans="3:14" ht="19.25" x14ac:dyDescent="0.65">
      <c r="C18" s="15" t="s">
        <v>11</v>
      </c>
      <c r="D18" s="16" t="s">
        <v>33</v>
      </c>
      <c r="E18" s="17"/>
      <c r="F18" s="15" t="s">
        <v>39</v>
      </c>
      <c r="G18" s="18">
        <v>44593</v>
      </c>
      <c r="M18" s="3"/>
      <c r="N18" s="3"/>
    </row>
    <row r="19" spans="3:14" ht="19.25" x14ac:dyDescent="0.65">
      <c r="C19" s="15" t="s">
        <v>12</v>
      </c>
      <c r="D19" s="16"/>
      <c r="E19" s="17"/>
      <c r="F19" s="15" t="s">
        <v>40</v>
      </c>
      <c r="G19" s="27"/>
      <c r="M19" s="3"/>
      <c r="N19" s="3"/>
    </row>
    <row r="20" spans="3:14" ht="19.25" x14ac:dyDescent="0.65">
      <c r="C20" s="15" t="s">
        <v>38</v>
      </c>
      <c r="D20" s="16" t="s">
        <v>74</v>
      </c>
      <c r="E20" s="17"/>
      <c r="F20" s="15" t="s">
        <v>41</v>
      </c>
      <c r="G20" s="27">
        <v>400000</v>
      </c>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64577"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64578"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79BEB-BA20-43B9-B8A3-E5537E56CAFD}">
  <sheetPr codeName="Sheet49"/>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153</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110</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59</v>
      </c>
      <c r="E11" s="17"/>
      <c r="F11" s="15" t="s">
        <v>20</v>
      </c>
      <c r="G11" s="16" t="s">
        <v>108</v>
      </c>
      <c r="M11" s="3"/>
      <c r="N11" s="3"/>
    </row>
    <row r="12" spans="3:700" ht="19.25" x14ac:dyDescent="0.65">
      <c r="C12" s="15" t="s">
        <v>18</v>
      </c>
      <c r="D12" s="21" t="s">
        <v>106</v>
      </c>
      <c r="E12" s="17"/>
      <c r="F12" s="15" t="s">
        <v>21</v>
      </c>
      <c r="G12" s="16" t="s">
        <v>109</v>
      </c>
      <c r="M12" s="3"/>
      <c r="N12" s="3"/>
    </row>
    <row r="13" spans="3:700" ht="19.25" x14ac:dyDescent="0.65">
      <c r="C13" s="15" t="s">
        <v>19</v>
      </c>
      <c r="D13" s="22" t="s">
        <v>107</v>
      </c>
      <c r="E13" s="17"/>
      <c r="F13" s="15" t="s">
        <v>22</v>
      </c>
      <c r="G13" s="16" t="s">
        <v>58</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104</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111</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63553"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63554"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DB32B9-265F-49C3-B150-57439B87D1A5}">
  <sheetPr codeName="Sheet48"/>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152</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99</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94</v>
      </c>
      <c r="E11" s="17"/>
      <c r="F11" s="15" t="s">
        <v>20</v>
      </c>
      <c r="G11" s="16" t="s">
        <v>97</v>
      </c>
      <c r="M11" s="3"/>
      <c r="N11" s="3"/>
    </row>
    <row r="12" spans="3:700" ht="19.25" x14ac:dyDescent="0.65">
      <c r="C12" s="15" t="s">
        <v>18</v>
      </c>
      <c r="D12" s="21" t="s">
        <v>95</v>
      </c>
      <c r="E12" s="17"/>
      <c r="F12" s="15" t="s">
        <v>21</v>
      </c>
      <c r="G12" s="16" t="s">
        <v>98</v>
      </c>
      <c r="M12" s="3"/>
      <c r="N12" s="3"/>
    </row>
    <row r="13" spans="3:700" ht="19.25" x14ac:dyDescent="0.65">
      <c r="C13" s="15" t="s">
        <v>19</v>
      </c>
      <c r="D13" s="22" t="s">
        <v>96</v>
      </c>
      <c r="E13" s="17"/>
      <c r="F13" s="15" t="s">
        <v>22</v>
      </c>
      <c r="G13" s="16" t="s">
        <v>56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59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100</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62529"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62530"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A4959-D5B9-4154-B71F-1790595B4D9F}">
  <sheetPr codeName="Sheet47"/>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151</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87</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57" x14ac:dyDescent="0.65">
      <c r="C11" s="15" t="s">
        <v>17</v>
      </c>
      <c r="D11" s="16" t="s">
        <v>81</v>
      </c>
      <c r="E11" s="17"/>
      <c r="F11" s="15" t="s">
        <v>20</v>
      </c>
      <c r="G11" s="16" t="s">
        <v>84</v>
      </c>
      <c r="M11" s="3"/>
      <c r="N11" s="3"/>
    </row>
    <row r="12" spans="3:700" ht="38" x14ac:dyDescent="0.65">
      <c r="C12" s="15" t="s">
        <v>18</v>
      </c>
      <c r="D12" s="21" t="s">
        <v>82</v>
      </c>
      <c r="E12" s="17"/>
      <c r="F12" s="15" t="s">
        <v>21</v>
      </c>
      <c r="G12" s="16" t="s">
        <v>85</v>
      </c>
      <c r="M12" s="3"/>
      <c r="N12" s="3"/>
    </row>
    <row r="13" spans="3:700" ht="19.25" x14ac:dyDescent="0.65">
      <c r="C13" s="15" t="s">
        <v>19</v>
      </c>
      <c r="D13" s="22" t="s">
        <v>83</v>
      </c>
      <c r="E13" s="17"/>
      <c r="F13" s="15" t="s">
        <v>22</v>
      </c>
      <c r="G13" s="16" t="s">
        <v>86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79</v>
      </c>
      <c r="E17" s="17"/>
      <c r="F17" s="15" t="s">
        <v>42</v>
      </c>
      <c r="G17" s="16">
        <v>109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88</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61505"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61506"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31514-D8DB-4D8D-AA8A-99ACC16CF361}">
  <sheetPr codeName="Sheet46"/>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150</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73</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66</v>
      </c>
      <c r="E11" s="17"/>
      <c r="F11" s="15" t="s">
        <v>20</v>
      </c>
      <c r="G11" s="16" t="s">
        <v>69</v>
      </c>
      <c r="M11" s="3"/>
      <c r="N11" s="3"/>
    </row>
    <row r="12" spans="3:700" ht="19.25" x14ac:dyDescent="0.65">
      <c r="C12" s="15" t="s">
        <v>18</v>
      </c>
      <c r="D12" s="21" t="s">
        <v>67</v>
      </c>
      <c r="E12" s="17"/>
      <c r="F12" s="15" t="s">
        <v>21</v>
      </c>
      <c r="G12" s="16" t="s">
        <v>70</v>
      </c>
      <c r="M12" s="3"/>
      <c r="N12" s="3"/>
    </row>
    <row r="13" spans="3:700" ht="19.25" x14ac:dyDescent="0.65">
      <c r="C13" s="15" t="s">
        <v>19</v>
      </c>
      <c r="D13" s="22" t="s">
        <v>68</v>
      </c>
      <c r="E13" s="17"/>
      <c r="F13" s="15" t="s">
        <v>22</v>
      </c>
      <c r="G13" s="16" t="s">
        <v>71</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93</v>
      </c>
      <c r="M17" s="3"/>
      <c r="N17" s="3"/>
    </row>
    <row r="18" spans="3:14" ht="19.25" x14ac:dyDescent="0.65">
      <c r="C18" s="15" t="s">
        <v>11</v>
      </c>
      <c r="D18" s="16" t="s">
        <v>33</v>
      </c>
      <c r="E18" s="17"/>
      <c r="F18" s="15" t="s">
        <v>39</v>
      </c>
      <c r="G18" s="18">
        <v>44593</v>
      </c>
      <c r="M18" s="3"/>
      <c r="N18" s="3"/>
    </row>
    <row r="19" spans="3:14" ht="19.25" x14ac:dyDescent="0.65">
      <c r="C19" s="15" t="s">
        <v>12</v>
      </c>
      <c r="D19" s="16"/>
      <c r="E19" s="17"/>
      <c r="F19" s="15" t="s">
        <v>40</v>
      </c>
      <c r="G19" s="27"/>
      <c r="M19" s="3"/>
      <c r="N19" s="3"/>
    </row>
    <row r="20" spans="3:14" ht="19.25" x14ac:dyDescent="0.65">
      <c r="C20" s="15" t="s">
        <v>38</v>
      </c>
      <c r="D20" s="16" t="s">
        <v>74</v>
      </c>
      <c r="E20" s="17"/>
      <c r="F20" s="15" t="s">
        <v>41</v>
      </c>
      <c r="G20" s="27">
        <v>400000</v>
      </c>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60481"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60482"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B06D0-D5E3-414B-8B97-79E91A7CA293}">
  <sheetPr codeName="Sheet45"/>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149</v>
      </c>
      <c r="M2" s="3"/>
      <c r="N2" s="3"/>
    </row>
    <row r="3" spans="3:700" ht="26.5" x14ac:dyDescent="1.1000000000000001">
      <c r="C3" s="14" t="s">
        <v>179</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110</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59</v>
      </c>
      <c r="E11" s="17"/>
      <c r="F11" s="15" t="s">
        <v>20</v>
      </c>
      <c r="G11" s="16" t="s">
        <v>108</v>
      </c>
      <c r="M11" s="3"/>
      <c r="N11" s="3"/>
    </row>
    <row r="12" spans="3:700" ht="19.25" x14ac:dyDescent="0.65">
      <c r="C12" s="15" t="s">
        <v>18</v>
      </c>
      <c r="D12" s="21" t="s">
        <v>106</v>
      </c>
      <c r="E12" s="17"/>
      <c r="F12" s="15" t="s">
        <v>21</v>
      </c>
      <c r="G12" s="16" t="s">
        <v>109</v>
      </c>
      <c r="M12" s="3"/>
      <c r="N12" s="3"/>
    </row>
    <row r="13" spans="3:700" ht="19.25" x14ac:dyDescent="0.65">
      <c r="C13" s="15" t="s">
        <v>19</v>
      </c>
      <c r="D13" s="22" t="s">
        <v>107</v>
      </c>
      <c r="E13" s="17"/>
      <c r="F13" s="15" t="s">
        <v>22</v>
      </c>
      <c r="G13" s="16" t="s">
        <v>58</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104</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111</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59457"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59458"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C99A0-FD72-473A-8B60-C51926CD3E0D}">
  <sheetPr codeName="Sheet44"/>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148</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99</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94</v>
      </c>
      <c r="E11" s="17"/>
      <c r="F11" s="15" t="s">
        <v>20</v>
      </c>
      <c r="G11" s="16" t="s">
        <v>97</v>
      </c>
      <c r="M11" s="3"/>
      <c r="N11" s="3"/>
    </row>
    <row r="12" spans="3:700" ht="19.25" x14ac:dyDescent="0.65">
      <c r="C12" s="15" t="s">
        <v>18</v>
      </c>
      <c r="D12" s="21" t="s">
        <v>95</v>
      </c>
      <c r="E12" s="17"/>
      <c r="F12" s="15" t="s">
        <v>21</v>
      </c>
      <c r="G12" s="16" t="s">
        <v>98</v>
      </c>
      <c r="M12" s="3"/>
      <c r="N12" s="3"/>
    </row>
    <row r="13" spans="3:700" ht="19.25" x14ac:dyDescent="0.65">
      <c r="C13" s="15" t="s">
        <v>19</v>
      </c>
      <c r="D13" s="22" t="s">
        <v>96</v>
      </c>
      <c r="E13" s="17"/>
      <c r="F13" s="15" t="s">
        <v>22</v>
      </c>
      <c r="G13" s="16" t="s">
        <v>56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59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100</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58433"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58434"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914E5-7CC3-451E-8367-22039F8D094A}">
  <sheetPr codeName="Sheet43"/>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147</v>
      </c>
      <c r="M2" s="3"/>
      <c r="N2" s="3"/>
    </row>
    <row r="3" spans="3:700" ht="26.5" x14ac:dyDescent="1.1000000000000001">
      <c r="C3" s="14" t="s">
        <v>178</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87</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57" x14ac:dyDescent="0.65">
      <c r="C11" s="15" t="s">
        <v>17</v>
      </c>
      <c r="D11" s="16" t="s">
        <v>81</v>
      </c>
      <c r="E11" s="17"/>
      <c r="F11" s="15" t="s">
        <v>20</v>
      </c>
      <c r="G11" s="16" t="s">
        <v>84</v>
      </c>
      <c r="M11" s="3"/>
      <c r="N11" s="3"/>
    </row>
    <row r="12" spans="3:700" ht="38" x14ac:dyDescent="0.65">
      <c r="C12" s="15" t="s">
        <v>18</v>
      </c>
      <c r="D12" s="21" t="s">
        <v>82</v>
      </c>
      <c r="E12" s="17"/>
      <c r="F12" s="15" t="s">
        <v>21</v>
      </c>
      <c r="G12" s="16" t="s">
        <v>85</v>
      </c>
      <c r="M12" s="3"/>
      <c r="N12" s="3"/>
    </row>
    <row r="13" spans="3:700" ht="19.25" x14ac:dyDescent="0.65">
      <c r="C13" s="15" t="s">
        <v>19</v>
      </c>
      <c r="D13" s="22" t="s">
        <v>83</v>
      </c>
      <c r="E13" s="17"/>
      <c r="F13" s="15" t="s">
        <v>22</v>
      </c>
      <c r="G13" s="16" t="s">
        <v>86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79</v>
      </c>
      <c r="E17" s="17"/>
      <c r="F17" s="15" t="s">
        <v>42</v>
      </c>
      <c r="G17" s="16">
        <v>109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88</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57409"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57410"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8FAC4-ECF9-44A7-96D4-A7DBE532423C}">
  <sheetPr codeName="Sheet42"/>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146</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73</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66</v>
      </c>
      <c r="E11" s="17"/>
      <c r="F11" s="15" t="s">
        <v>20</v>
      </c>
      <c r="G11" s="16" t="s">
        <v>69</v>
      </c>
      <c r="M11" s="3"/>
      <c r="N11" s="3"/>
    </row>
    <row r="12" spans="3:700" ht="19.25" x14ac:dyDescent="0.65">
      <c r="C12" s="15" t="s">
        <v>18</v>
      </c>
      <c r="D12" s="21" t="s">
        <v>67</v>
      </c>
      <c r="E12" s="17"/>
      <c r="F12" s="15" t="s">
        <v>21</v>
      </c>
      <c r="G12" s="16" t="s">
        <v>70</v>
      </c>
      <c r="M12" s="3"/>
      <c r="N12" s="3"/>
    </row>
    <row r="13" spans="3:700" ht="19.25" x14ac:dyDescent="0.65">
      <c r="C13" s="15" t="s">
        <v>19</v>
      </c>
      <c r="D13" s="22" t="s">
        <v>68</v>
      </c>
      <c r="E13" s="17"/>
      <c r="F13" s="15" t="s">
        <v>22</v>
      </c>
      <c r="G13" s="16" t="s">
        <v>71</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93</v>
      </c>
      <c r="M17" s="3"/>
      <c r="N17" s="3"/>
    </row>
    <row r="18" spans="3:14" ht="19.25" x14ac:dyDescent="0.65">
      <c r="C18" s="15" t="s">
        <v>11</v>
      </c>
      <c r="D18" s="16" t="s">
        <v>33</v>
      </c>
      <c r="E18" s="17"/>
      <c r="F18" s="15" t="s">
        <v>39</v>
      </c>
      <c r="G18" s="18">
        <v>44593</v>
      </c>
      <c r="M18" s="3"/>
      <c r="N18" s="3"/>
    </row>
    <row r="19" spans="3:14" ht="19.25" x14ac:dyDescent="0.65">
      <c r="C19" s="15" t="s">
        <v>12</v>
      </c>
      <c r="D19" s="16"/>
      <c r="E19" s="17"/>
      <c r="F19" s="15" t="s">
        <v>40</v>
      </c>
      <c r="G19" s="27"/>
      <c r="M19" s="3"/>
      <c r="N19" s="3"/>
    </row>
    <row r="20" spans="3:14" ht="19.25" x14ac:dyDescent="0.65">
      <c r="C20" s="15" t="s">
        <v>38</v>
      </c>
      <c r="D20" s="16" t="s">
        <v>74</v>
      </c>
      <c r="E20" s="17"/>
      <c r="F20" s="15" t="s">
        <v>41</v>
      </c>
      <c r="G20" s="27">
        <v>400000</v>
      </c>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56385"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56386"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DAB05-BA6C-44FB-9E9A-1A59271DC39E}">
  <sheetPr codeName="Sheet41"/>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145</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110</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59</v>
      </c>
      <c r="E11" s="17"/>
      <c r="F11" s="15" t="s">
        <v>20</v>
      </c>
      <c r="G11" s="16" t="s">
        <v>108</v>
      </c>
      <c r="M11" s="3"/>
      <c r="N11" s="3"/>
    </row>
    <row r="12" spans="3:700" ht="19.25" x14ac:dyDescent="0.65">
      <c r="C12" s="15" t="s">
        <v>18</v>
      </c>
      <c r="D12" s="21" t="s">
        <v>106</v>
      </c>
      <c r="E12" s="17"/>
      <c r="F12" s="15" t="s">
        <v>21</v>
      </c>
      <c r="G12" s="16" t="s">
        <v>109</v>
      </c>
      <c r="M12" s="3"/>
      <c r="N12" s="3"/>
    </row>
    <row r="13" spans="3:700" ht="19.25" x14ac:dyDescent="0.65">
      <c r="C13" s="15" t="s">
        <v>19</v>
      </c>
      <c r="D13" s="22" t="s">
        <v>107</v>
      </c>
      <c r="E13" s="17"/>
      <c r="F13" s="15" t="s">
        <v>22</v>
      </c>
      <c r="G13" s="16" t="s">
        <v>58</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104</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111</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55361"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55362"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A53DCF-3B22-477E-B347-2838780D6B1C}">
  <sheetPr codeName="Sheet40"/>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144</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99</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94</v>
      </c>
      <c r="E11" s="17"/>
      <c r="F11" s="15" t="s">
        <v>20</v>
      </c>
      <c r="G11" s="16" t="s">
        <v>97</v>
      </c>
      <c r="M11" s="3"/>
      <c r="N11" s="3"/>
    </row>
    <row r="12" spans="3:700" ht="19.25" x14ac:dyDescent="0.65">
      <c r="C12" s="15" t="s">
        <v>18</v>
      </c>
      <c r="D12" s="21" t="s">
        <v>95</v>
      </c>
      <c r="E12" s="17"/>
      <c r="F12" s="15" t="s">
        <v>21</v>
      </c>
      <c r="G12" s="16" t="s">
        <v>98</v>
      </c>
      <c r="M12" s="3"/>
      <c r="N12" s="3"/>
    </row>
    <row r="13" spans="3:700" ht="19.25" x14ac:dyDescent="0.65">
      <c r="C13" s="15" t="s">
        <v>19</v>
      </c>
      <c r="D13" s="22" t="s">
        <v>96</v>
      </c>
      <c r="E13" s="17"/>
      <c r="F13" s="15" t="s">
        <v>22</v>
      </c>
      <c r="G13" s="16" t="s">
        <v>56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59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100</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54337"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54338"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CA40C-10BD-405C-8909-286AA0347F0D}">
  <sheetPr codeName="Sheet39"/>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143</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87</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57" x14ac:dyDescent="0.65">
      <c r="C11" s="15" t="s">
        <v>17</v>
      </c>
      <c r="D11" s="16" t="s">
        <v>81</v>
      </c>
      <c r="E11" s="17"/>
      <c r="F11" s="15" t="s">
        <v>20</v>
      </c>
      <c r="G11" s="16" t="s">
        <v>84</v>
      </c>
      <c r="M11" s="3"/>
      <c r="N11" s="3"/>
    </row>
    <row r="12" spans="3:700" ht="38" x14ac:dyDescent="0.65">
      <c r="C12" s="15" t="s">
        <v>18</v>
      </c>
      <c r="D12" s="21" t="s">
        <v>82</v>
      </c>
      <c r="E12" s="17"/>
      <c r="F12" s="15" t="s">
        <v>21</v>
      </c>
      <c r="G12" s="16" t="s">
        <v>85</v>
      </c>
      <c r="M12" s="3"/>
      <c r="N12" s="3"/>
    </row>
    <row r="13" spans="3:700" ht="19.25" x14ac:dyDescent="0.65">
      <c r="C13" s="15" t="s">
        <v>19</v>
      </c>
      <c r="D13" s="22" t="s">
        <v>83</v>
      </c>
      <c r="E13" s="17"/>
      <c r="F13" s="15" t="s">
        <v>22</v>
      </c>
      <c r="G13" s="16" t="s">
        <v>86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79</v>
      </c>
      <c r="E17" s="17"/>
      <c r="F17" s="15" t="s">
        <v>42</v>
      </c>
      <c r="G17" s="16">
        <v>109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88</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53313"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53314"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A810D4-E064-4D33-8983-7973BA9744DA}">
  <sheetPr codeName="Sheet38"/>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142</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73</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66</v>
      </c>
      <c r="E11" s="17"/>
      <c r="F11" s="15" t="s">
        <v>20</v>
      </c>
      <c r="G11" s="16" t="s">
        <v>69</v>
      </c>
      <c r="M11" s="3"/>
      <c r="N11" s="3"/>
    </row>
    <row r="12" spans="3:700" ht="19.25" x14ac:dyDescent="0.65">
      <c r="C12" s="15" t="s">
        <v>18</v>
      </c>
      <c r="D12" s="21" t="s">
        <v>67</v>
      </c>
      <c r="E12" s="17"/>
      <c r="F12" s="15" t="s">
        <v>21</v>
      </c>
      <c r="G12" s="16" t="s">
        <v>70</v>
      </c>
      <c r="M12" s="3"/>
      <c r="N12" s="3"/>
    </row>
    <row r="13" spans="3:700" ht="19.25" x14ac:dyDescent="0.65">
      <c r="C13" s="15" t="s">
        <v>19</v>
      </c>
      <c r="D13" s="22" t="s">
        <v>68</v>
      </c>
      <c r="E13" s="17"/>
      <c r="F13" s="15" t="s">
        <v>22</v>
      </c>
      <c r="G13" s="16" t="s">
        <v>71</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93</v>
      </c>
      <c r="M17" s="3"/>
      <c r="N17" s="3"/>
    </row>
    <row r="18" spans="3:14" ht="19.25" x14ac:dyDescent="0.65">
      <c r="C18" s="15" t="s">
        <v>11</v>
      </c>
      <c r="D18" s="16" t="s">
        <v>33</v>
      </c>
      <c r="E18" s="17"/>
      <c r="F18" s="15" t="s">
        <v>39</v>
      </c>
      <c r="G18" s="18">
        <v>44593</v>
      </c>
      <c r="M18" s="3"/>
      <c r="N18" s="3"/>
    </row>
    <row r="19" spans="3:14" ht="19.25" x14ac:dyDescent="0.65">
      <c r="C19" s="15" t="s">
        <v>12</v>
      </c>
      <c r="D19" s="16"/>
      <c r="E19" s="17"/>
      <c r="F19" s="15" t="s">
        <v>40</v>
      </c>
      <c r="G19" s="27"/>
      <c r="M19" s="3"/>
      <c r="N19" s="3"/>
    </row>
    <row r="20" spans="3:14" ht="19.25" x14ac:dyDescent="0.65">
      <c r="C20" s="15" t="s">
        <v>38</v>
      </c>
      <c r="D20" s="16" t="s">
        <v>74</v>
      </c>
      <c r="E20" s="17"/>
      <c r="F20" s="15" t="s">
        <v>41</v>
      </c>
      <c r="G20" s="27">
        <v>400000</v>
      </c>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52289"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52290"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251412-DA26-495A-B4D2-BA790698EB0E}">
  <sheetPr codeName="Sheet37"/>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141</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110</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59</v>
      </c>
      <c r="E11" s="17"/>
      <c r="F11" s="15" t="s">
        <v>20</v>
      </c>
      <c r="G11" s="16" t="s">
        <v>108</v>
      </c>
      <c r="M11" s="3"/>
      <c r="N11" s="3"/>
    </row>
    <row r="12" spans="3:700" ht="19.25" x14ac:dyDescent="0.65">
      <c r="C12" s="15" t="s">
        <v>18</v>
      </c>
      <c r="D12" s="21" t="s">
        <v>106</v>
      </c>
      <c r="E12" s="17"/>
      <c r="F12" s="15" t="s">
        <v>21</v>
      </c>
      <c r="G12" s="16" t="s">
        <v>109</v>
      </c>
      <c r="M12" s="3"/>
      <c r="N12" s="3"/>
    </row>
    <row r="13" spans="3:700" ht="19.25" x14ac:dyDescent="0.65">
      <c r="C13" s="15" t="s">
        <v>19</v>
      </c>
      <c r="D13" s="22" t="s">
        <v>107</v>
      </c>
      <c r="E13" s="17"/>
      <c r="F13" s="15" t="s">
        <v>22</v>
      </c>
      <c r="G13" s="16" t="s">
        <v>58</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104</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111</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51265"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51266"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D30FA-4AD0-4A11-9878-5DB48B4DE48E}">
  <sheetPr codeName="Sheet36"/>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140</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99</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94</v>
      </c>
      <c r="E11" s="17"/>
      <c r="F11" s="15" t="s">
        <v>20</v>
      </c>
      <c r="G11" s="16" t="s">
        <v>97</v>
      </c>
      <c r="M11" s="3"/>
      <c r="N11" s="3"/>
    </row>
    <row r="12" spans="3:700" ht="19.25" x14ac:dyDescent="0.65">
      <c r="C12" s="15" t="s">
        <v>18</v>
      </c>
      <c r="D12" s="21" t="s">
        <v>95</v>
      </c>
      <c r="E12" s="17"/>
      <c r="F12" s="15" t="s">
        <v>21</v>
      </c>
      <c r="G12" s="16" t="s">
        <v>98</v>
      </c>
      <c r="M12" s="3"/>
      <c r="N12" s="3"/>
    </row>
    <row r="13" spans="3:700" ht="19.25" x14ac:dyDescent="0.65">
      <c r="C13" s="15" t="s">
        <v>19</v>
      </c>
      <c r="D13" s="22" t="s">
        <v>96</v>
      </c>
      <c r="E13" s="17"/>
      <c r="F13" s="15" t="s">
        <v>22</v>
      </c>
      <c r="G13" s="16" t="s">
        <v>56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59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100</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50241"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50242"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32C5-35A3-4399-BAA1-492ACBB2715D}">
  <sheetPr codeName="Sheet35"/>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139</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87</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57" x14ac:dyDescent="0.65">
      <c r="C11" s="15" t="s">
        <v>17</v>
      </c>
      <c r="D11" s="16" t="s">
        <v>81</v>
      </c>
      <c r="E11" s="17"/>
      <c r="F11" s="15" t="s">
        <v>20</v>
      </c>
      <c r="G11" s="16" t="s">
        <v>84</v>
      </c>
      <c r="M11" s="3"/>
      <c r="N11" s="3"/>
    </row>
    <row r="12" spans="3:700" ht="38" x14ac:dyDescent="0.65">
      <c r="C12" s="15" t="s">
        <v>18</v>
      </c>
      <c r="D12" s="21" t="s">
        <v>82</v>
      </c>
      <c r="E12" s="17"/>
      <c r="F12" s="15" t="s">
        <v>21</v>
      </c>
      <c r="G12" s="16" t="s">
        <v>85</v>
      </c>
      <c r="M12" s="3"/>
      <c r="N12" s="3"/>
    </row>
    <row r="13" spans="3:700" ht="19.25" x14ac:dyDescent="0.65">
      <c r="C13" s="15" t="s">
        <v>19</v>
      </c>
      <c r="D13" s="22" t="s">
        <v>83</v>
      </c>
      <c r="E13" s="17"/>
      <c r="F13" s="15" t="s">
        <v>22</v>
      </c>
      <c r="G13" s="16" t="s">
        <v>86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79</v>
      </c>
      <c r="E17" s="17"/>
      <c r="F17" s="15" t="s">
        <v>42</v>
      </c>
      <c r="G17" s="16">
        <v>109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88</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49217"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49218"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6222D-51DB-4729-9A64-C3A100FFB46A}">
  <sheetPr codeName="Sheet34"/>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138</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73</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66</v>
      </c>
      <c r="E11" s="17"/>
      <c r="F11" s="15" t="s">
        <v>20</v>
      </c>
      <c r="G11" s="16" t="s">
        <v>69</v>
      </c>
      <c r="M11" s="3"/>
      <c r="N11" s="3"/>
    </row>
    <row r="12" spans="3:700" ht="19.25" x14ac:dyDescent="0.65">
      <c r="C12" s="15" t="s">
        <v>18</v>
      </c>
      <c r="D12" s="21" t="s">
        <v>67</v>
      </c>
      <c r="E12" s="17"/>
      <c r="F12" s="15" t="s">
        <v>21</v>
      </c>
      <c r="G12" s="16" t="s">
        <v>70</v>
      </c>
      <c r="M12" s="3"/>
      <c r="N12" s="3"/>
    </row>
    <row r="13" spans="3:700" ht="19.25" x14ac:dyDescent="0.65">
      <c r="C13" s="15" t="s">
        <v>19</v>
      </c>
      <c r="D13" s="22" t="s">
        <v>68</v>
      </c>
      <c r="E13" s="17"/>
      <c r="F13" s="15" t="s">
        <v>22</v>
      </c>
      <c r="G13" s="16" t="s">
        <v>71</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93</v>
      </c>
      <c r="M17" s="3"/>
      <c r="N17" s="3"/>
    </row>
    <row r="18" spans="3:14" ht="19.25" x14ac:dyDescent="0.65">
      <c r="C18" s="15" t="s">
        <v>11</v>
      </c>
      <c r="D18" s="16" t="s">
        <v>33</v>
      </c>
      <c r="E18" s="17"/>
      <c r="F18" s="15" t="s">
        <v>39</v>
      </c>
      <c r="G18" s="18">
        <v>44593</v>
      </c>
      <c r="M18" s="3"/>
      <c r="N18" s="3"/>
    </row>
    <row r="19" spans="3:14" ht="19.25" x14ac:dyDescent="0.65">
      <c r="C19" s="15" t="s">
        <v>12</v>
      </c>
      <c r="D19" s="16"/>
      <c r="E19" s="17"/>
      <c r="F19" s="15" t="s">
        <v>40</v>
      </c>
      <c r="G19" s="27"/>
      <c r="M19" s="3"/>
      <c r="N19" s="3"/>
    </row>
    <row r="20" spans="3:14" ht="19.25" x14ac:dyDescent="0.65">
      <c r="C20" s="15" t="s">
        <v>38</v>
      </c>
      <c r="D20" s="16" t="s">
        <v>74</v>
      </c>
      <c r="E20" s="17"/>
      <c r="F20" s="15" t="s">
        <v>41</v>
      </c>
      <c r="G20" s="27">
        <v>400000</v>
      </c>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48193"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48194"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1328E-48DF-4CAD-A2A5-AB958481AD4F}">
  <sheetPr codeName="Sheet33"/>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137</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110</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59</v>
      </c>
      <c r="E11" s="17"/>
      <c r="F11" s="15" t="s">
        <v>20</v>
      </c>
      <c r="G11" s="16" t="s">
        <v>108</v>
      </c>
      <c r="M11" s="3"/>
      <c r="N11" s="3"/>
    </row>
    <row r="12" spans="3:700" ht="19.25" x14ac:dyDescent="0.65">
      <c r="C12" s="15" t="s">
        <v>18</v>
      </c>
      <c r="D12" s="21" t="s">
        <v>106</v>
      </c>
      <c r="E12" s="17"/>
      <c r="F12" s="15" t="s">
        <v>21</v>
      </c>
      <c r="G12" s="16" t="s">
        <v>109</v>
      </c>
      <c r="M12" s="3"/>
      <c r="N12" s="3"/>
    </row>
    <row r="13" spans="3:700" ht="19.25" x14ac:dyDescent="0.65">
      <c r="C13" s="15" t="s">
        <v>19</v>
      </c>
      <c r="D13" s="22" t="s">
        <v>107</v>
      </c>
      <c r="E13" s="17"/>
      <c r="F13" s="15" t="s">
        <v>22</v>
      </c>
      <c r="G13" s="16" t="s">
        <v>58</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104</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111</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47169"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47170"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A9F3C-9230-4F01-81BA-99CAC62DA41D}">
  <sheetPr codeName="Sheet32"/>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136</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99</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94</v>
      </c>
      <c r="E11" s="17"/>
      <c r="F11" s="15" t="s">
        <v>20</v>
      </c>
      <c r="G11" s="16" t="s">
        <v>97</v>
      </c>
      <c r="M11" s="3"/>
      <c r="N11" s="3"/>
    </row>
    <row r="12" spans="3:700" ht="19.25" x14ac:dyDescent="0.65">
      <c r="C12" s="15" t="s">
        <v>18</v>
      </c>
      <c r="D12" s="21" t="s">
        <v>95</v>
      </c>
      <c r="E12" s="17"/>
      <c r="F12" s="15" t="s">
        <v>21</v>
      </c>
      <c r="G12" s="16" t="s">
        <v>98</v>
      </c>
      <c r="M12" s="3"/>
      <c r="N12" s="3"/>
    </row>
    <row r="13" spans="3:700" ht="19.25" x14ac:dyDescent="0.65">
      <c r="C13" s="15" t="s">
        <v>19</v>
      </c>
      <c r="D13" s="22" t="s">
        <v>96</v>
      </c>
      <c r="E13" s="17"/>
      <c r="F13" s="15" t="s">
        <v>22</v>
      </c>
      <c r="G13" s="16" t="s">
        <v>56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59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100</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46145"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46146"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0D1F5-E7A3-4DE3-B64B-7420F7061A1F}">
  <sheetPr codeName="Sheet30"/>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135</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87</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57" x14ac:dyDescent="0.65">
      <c r="C11" s="15" t="s">
        <v>17</v>
      </c>
      <c r="D11" s="16" t="s">
        <v>81</v>
      </c>
      <c r="E11" s="17"/>
      <c r="F11" s="15" t="s">
        <v>20</v>
      </c>
      <c r="G11" s="16" t="s">
        <v>84</v>
      </c>
      <c r="M11" s="3"/>
      <c r="N11" s="3"/>
    </row>
    <row r="12" spans="3:700" ht="38" x14ac:dyDescent="0.65">
      <c r="C12" s="15" t="s">
        <v>18</v>
      </c>
      <c r="D12" s="21" t="s">
        <v>82</v>
      </c>
      <c r="E12" s="17"/>
      <c r="F12" s="15" t="s">
        <v>21</v>
      </c>
      <c r="G12" s="16" t="s">
        <v>85</v>
      </c>
      <c r="M12" s="3"/>
      <c r="N12" s="3"/>
    </row>
    <row r="13" spans="3:700" ht="19.25" x14ac:dyDescent="0.65">
      <c r="C13" s="15" t="s">
        <v>19</v>
      </c>
      <c r="D13" s="22" t="s">
        <v>83</v>
      </c>
      <c r="E13" s="17"/>
      <c r="F13" s="15" t="s">
        <v>22</v>
      </c>
      <c r="G13" s="16" t="s">
        <v>86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79</v>
      </c>
      <c r="E17" s="17"/>
      <c r="F17" s="15" t="s">
        <v>42</v>
      </c>
      <c r="G17" s="16">
        <v>109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88</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45121"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45122"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480B9-6C3A-4FD4-BA44-AB3FF6350EE4}">
  <sheetPr codeName="Sheet29"/>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134</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73</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66</v>
      </c>
      <c r="E11" s="17"/>
      <c r="F11" s="15" t="s">
        <v>20</v>
      </c>
      <c r="G11" s="16" t="s">
        <v>69</v>
      </c>
      <c r="M11" s="3"/>
      <c r="N11" s="3"/>
    </row>
    <row r="12" spans="3:700" ht="19.25" x14ac:dyDescent="0.65">
      <c r="C12" s="15" t="s">
        <v>18</v>
      </c>
      <c r="D12" s="21" t="s">
        <v>67</v>
      </c>
      <c r="E12" s="17"/>
      <c r="F12" s="15" t="s">
        <v>21</v>
      </c>
      <c r="G12" s="16" t="s">
        <v>70</v>
      </c>
      <c r="M12" s="3"/>
      <c r="N12" s="3"/>
    </row>
    <row r="13" spans="3:700" ht="19.25" x14ac:dyDescent="0.65">
      <c r="C13" s="15" t="s">
        <v>19</v>
      </c>
      <c r="D13" s="22" t="s">
        <v>68</v>
      </c>
      <c r="E13" s="17"/>
      <c r="F13" s="15" t="s">
        <v>22</v>
      </c>
      <c r="G13" s="16" t="s">
        <v>71</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93</v>
      </c>
      <c r="M17" s="3"/>
      <c r="N17" s="3"/>
    </row>
    <row r="18" spans="3:14" ht="19.25" x14ac:dyDescent="0.65">
      <c r="C18" s="15" t="s">
        <v>11</v>
      </c>
      <c r="D18" s="16" t="s">
        <v>33</v>
      </c>
      <c r="E18" s="17"/>
      <c r="F18" s="15" t="s">
        <v>39</v>
      </c>
      <c r="G18" s="18">
        <v>44593</v>
      </c>
      <c r="M18" s="3"/>
      <c r="N18" s="3"/>
    </row>
    <row r="19" spans="3:14" ht="19.25" x14ac:dyDescent="0.65">
      <c r="C19" s="15" t="s">
        <v>12</v>
      </c>
      <c r="D19" s="16"/>
      <c r="E19" s="17"/>
      <c r="F19" s="15" t="s">
        <v>40</v>
      </c>
      <c r="G19" s="27"/>
      <c r="M19" s="3"/>
      <c r="N19" s="3"/>
    </row>
    <row r="20" spans="3:14" ht="19.25" x14ac:dyDescent="0.65">
      <c r="C20" s="15" t="s">
        <v>38</v>
      </c>
      <c r="D20" s="16" t="s">
        <v>74</v>
      </c>
      <c r="E20" s="17"/>
      <c r="F20" s="15" t="s">
        <v>41</v>
      </c>
      <c r="G20" s="27">
        <v>400000</v>
      </c>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44097"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44098"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F8228-5547-45A8-8BF4-D2962BD397FB}">
  <sheetPr codeName="Sheet28"/>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133</v>
      </c>
      <c r="M2" s="3"/>
      <c r="N2" s="3"/>
    </row>
    <row r="3" spans="3:700" ht="26.5" x14ac:dyDescent="1.1000000000000001">
      <c r="C3" s="14" t="s">
        <v>177</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110</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59</v>
      </c>
      <c r="E11" s="17"/>
      <c r="F11" s="15" t="s">
        <v>20</v>
      </c>
      <c r="G11" s="16" t="s">
        <v>108</v>
      </c>
      <c r="M11" s="3"/>
      <c r="N11" s="3"/>
    </row>
    <row r="12" spans="3:700" ht="19.25" x14ac:dyDescent="0.65">
      <c r="C12" s="15" t="s">
        <v>18</v>
      </c>
      <c r="D12" s="21" t="s">
        <v>106</v>
      </c>
      <c r="E12" s="17"/>
      <c r="F12" s="15" t="s">
        <v>21</v>
      </c>
      <c r="G12" s="16" t="s">
        <v>109</v>
      </c>
      <c r="M12" s="3"/>
      <c r="N12" s="3"/>
    </row>
    <row r="13" spans="3:700" ht="19.25" x14ac:dyDescent="0.65">
      <c r="C13" s="15" t="s">
        <v>19</v>
      </c>
      <c r="D13" s="22" t="s">
        <v>107</v>
      </c>
      <c r="E13" s="17"/>
      <c r="F13" s="15" t="s">
        <v>22</v>
      </c>
      <c r="G13" s="16" t="s">
        <v>58</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104</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111</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43073"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43074"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3CAFD-8EA0-49C7-BF0B-888B03CF513C}">
  <sheetPr codeName="Sheet27"/>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132</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99</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94</v>
      </c>
      <c r="E11" s="17"/>
      <c r="F11" s="15" t="s">
        <v>20</v>
      </c>
      <c r="G11" s="16" t="s">
        <v>97</v>
      </c>
      <c r="M11" s="3"/>
      <c r="N11" s="3"/>
    </row>
    <row r="12" spans="3:700" ht="19.25" x14ac:dyDescent="0.65">
      <c r="C12" s="15" t="s">
        <v>18</v>
      </c>
      <c r="D12" s="21" t="s">
        <v>95</v>
      </c>
      <c r="E12" s="17"/>
      <c r="F12" s="15" t="s">
        <v>21</v>
      </c>
      <c r="G12" s="16" t="s">
        <v>98</v>
      </c>
      <c r="M12" s="3"/>
      <c r="N12" s="3"/>
    </row>
    <row r="13" spans="3:700" ht="19.25" x14ac:dyDescent="0.65">
      <c r="C13" s="15" t="s">
        <v>19</v>
      </c>
      <c r="D13" s="22" t="s">
        <v>96</v>
      </c>
      <c r="E13" s="17"/>
      <c r="F13" s="15" t="s">
        <v>22</v>
      </c>
      <c r="G13" s="16" t="s">
        <v>56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59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100</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42049"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42050"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37DB1-C27E-4A50-BFAE-8169CD669AD0}">
  <sheetPr codeName="Sheet26"/>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131</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87</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57" x14ac:dyDescent="0.65">
      <c r="C11" s="15" t="s">
        <v>17</v>
      </c>
      <c r="D11" s="16" t="s">
        <v>81</v>
      </c>
      <c r="E11" s="17"/>
      <c r="F11" s="15" t="s">
        <v>20</v>
      </c>
      <c r="G11" s="16" t="s">
        <v>84</v>
      </c>
      <c r="M11" s="3"/>
      <c r="N11" s="3"/>
    </row>
    <row r="12" spans="3:700" ht="38" x14ac:dyDescent="0.65">
      <c r="C12" s="15" t="s">
        <v>18</v>
      </c>
      <c r="D12" s="21" t="s">
        <v>82</v>
      </c>
      <c r="E12" s="17"/>
      <c r="F12" s="15" t="s">
        <v>21</v>
      </c>
      <c r="G12" s="16" t="s">
        <v>85</v>
      </c>
      <c r="M12" s="3"/>
      <c r="N12" s="3"/>
    </row>
    <row r="13" spans="3:700" ht="19.25" x14ac:dyDescent="0.65">
      <c r="C13" s="15" t="s">
        <v>19</v>
      </c>
      <c r="D13" s="22" t="s">
        <v>83</v>
      </c>
      <c r="E13" s="17"/>
      <c r="F13" s="15" t="s">
        <v>22</v>
      </c>
      <c r="G13" s="16" t="s">
        <v>86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79</v>
      </c>
      <c r="E17" s="17"/>
      <c r="F17" s="15" t="s">
        <v>42</v>
      </c>
      <c r="G17" s="16">
        <v>109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88</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41025"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41026"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CAF67-BC0C-4F69-BD82-B2FFEA1ABD29}">
  <sheetPr codeName="Sheet25"/>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130</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73</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66</v>
      </c>
      <c r="E11" s="17"/>
      <c r="F11" s="15" t="s">
        <v>20</v>
      </c>
      <c r="G11" s="16" t="s">
        <v>69</v>
      </c>
      <c r="M11" s="3"/>
      <c r="N11" s="3"/>
    </row>
    <row r="12" spans="3:700" ht="19.25" x14ac:dyDescent="0.65">
      <c r="C12" s="15" t="s">
        <v>18</v>
      </c>
      <c r="D12" s="21" t="s">
        <v>67</v>
      </c>
      <c r="E12" s="17"/>
      <c r="F12" s="15" t="s">
        <v>21</v>
      </c>
      <c r="G12" s="16" t="s">
        <v>70</v>
      </c>
      <c r="M12" s="3"/>
      <c r="N12" s="3"/>
    </row>
    <row r="13" spans="3:700" ht="19.25" x14ac:dyDescent="0.65">
      <c r="C13" s="15" t="s">
        <v>19</v>
      </c>
      <c r="D13" s="22" t="s">
        <v>68</v>
      </c>
      <c r="E13" s="17"/>
      <c r="F13" s="15" t="s">
        <v>22</v>
      </c>
      <c r="G13" s="16" t="s">
        <v>71</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93</v>
      </c>
      <c r="M17" s="3"/>
      <c r="N17" s="3"/>
    </row>
    <row r="18" spans="3:14" ht="19.25" x14ac:dyDescent="0.65">
      <c r="C18" s="15" t="s">
        <v>11</v>
      </c>
      <c r="D18" s="16" t="s">
        <v>33</v>
      </c>
      <c r="E18" s="17"/>
      <c r="F18" s="15" t="s">
        <v>39</v>
      </c>
      <c r="G18" s="18">
        <v>44593</v>
      </c>
      <c r="M18" s="3"/>
      <c r="N18" s="3"/>
    </row>
    <row r="19" spans="3:14" ht="19.25" x14ac:dyDescent="0.65">
      <c r="C19" s="15" t="s">
        <v>12</v>
      </c>
      <c r="D19" s="16"/>
      <c r="E19" s="17"/>
      <c r="F19" s="15" t="s">
        <v>40</v>
      </c>
      <c r="G19" s="27"/>
      <c r="M19" s="3"/>
      <c r="N19" s="3"/>
    </row>
    <row r="20" spans="3:14" ht="19.25" x14ac:dyDescent="0.65">
      <c r="C20" s="15" t="s">
        <v>38</v>
      </c>
      <c r="D20" s="16" t="s">
        <v>74</v>
      </c>
      <c r="E20" s="17"/>
      <c r="F20" s="15" t="s">
        <v>41</v>
      </c>
      <c r="G20" s="27">
        <v>400000</v>
      </c>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40001"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40002"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C4780-AF89-4B6C-AC11-7C95C5B61202}">
  <sheetPr codeName="Sheet24"/>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129</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110</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59</v>
      </c>
      <c r="E11" s="17"/>
      <c r="F11" s="15" t="s">
        <v>20</v>
      </c>
      <c r="G11" s="16" t="s">
        <v>108</v>
      </c>
      <c r="M11" s="3"/>
      <c r="N11" s="3"/>
    </row>
    <row r="12" spans="3:700" ht="19.25" x14ac:dyDescent="0.65">
      <c r="C12" s="15" t="s">
        <v>18</v>
      </c>
      <c r="D12" s="21" t="s">
        <v>106</v>
      </c>
      <c r="E12" s="17"/>
      <c r="F12" s="15" t="s">
        <v>21</v>
      </c>
      <c r="G12" s="16" t="s">
        <v>109</v>
      </c>
      <c r="M12" s="3"/>
      <c r="N12" s="3"/>
    </row>
    <row r="13" spans="3:700" ht="19.25" x14ac:dyDescent="0.65">
      <c r="C13" s="15" t="s">
        <v>19</v>
      </c>
      <c r="D13" s="22" t="s">
        <v>107</v>
      </c>
      <c r="E13" s="17"/>
      <c r="F13" s="15" t="s">
        <v>22</v>
      </c>
      <c r="G13" s="16" t="s">
        <v>58</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104</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111</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38977"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38978"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8EEB41-3E85-49FA-BAC2-F6A7DD223CFB}">
  <sheetPr codeName="Sheet23"/>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128</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99</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94</v>
      </c>
      <c r="E11" s="17"/>
      <c r="F11" s="15" t="s">
        <v>20</v>
      </c>
      <c r="G11" s="16" t="s">
        <v>97</v>
      </c>
      <c r="M11" s="3"/>
      <c r="N11" s="3"/>
    </row>
    <row r="12" spans="3:700" ht="19.25" x14ac:dyDescent="0.65">
      <c r="C12" s="15" t="s">
        <v>18</v>
      </c>
      <c r="D12" s="21" t="s">
        <v>95</v>
      </c>
      <c r="E12" s="17"/>
      <c r="F12" s="15" t="s">
        <v>21</v>
      </c>
      <c r="G12" s="16" t="s">
        <v>98</v>
      </c>
      <c r="M12" s="3"/>
      <c r="N12" s="3"/>
    </row>
    <row r="13" spans="3:700" ht="19.25" x14ac:dyDescent="0.65">
      <c r="C13" s="15" t="s">
        <v>19</v>
      </c>
      <c r="D13" s="22" t="s">
        <v>96</v>
      </c>
      <c r="E13" s="17"/>
      <c r="F13" s="15" t="s">
        <v>22</v>
      </c>
      <c r="G13" s="16" t="s">
        <v>56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59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100</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37953"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37954"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A9363-D3BF-49A3-B095-7D84885E2759}">
  <sheetPr codeName="Sheet22"/>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123</v>
      </c>
      <c r="M2" s="3"/>
      <c r="N2" s="3"/>
    </row>
    <row r="3" spans="3:700" ht="26.5" x14ac:dyDescent="1.1000000000000001">
      <c r="C3" s="14" t="s">
        <v>176</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87</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57" x14ac:dyDescent="0.65">
      <c r="C11" s="15" t="s">
        <v>17</v>
      </c>
      <c r="D11" s="16" t="s">
        <v>81</v>
      </c>
      <c r="E11" s="17"/>
      <c r="F11" s="15" t="s">
        <v>20</v>
      </c>
      <c r="G11" s="16" t="s">
        <v>84</v>
      </c>
      <c r="M11" s="3"/>
      <c r="N11" s="3"/>
    </row>
    <row r="12" spans="3:700" ht="38" x14ac:dyDescent="0.65">
      <c r="C12" s="15" t="s">
        <v>18</v>
      </c>
      <c r="D12" s="21" t="s">
        <v>82</v>
      </c>
      <c r="E12" s="17"/>
      <c r="F12" s="15" t="s">
        <v>21</v>
      </c>
      <c r="G12" s="16" t="s">
        <v>85</v>
      </c>
      <c r="M12" s="3"/>
      <c r="N12" s="3"/>
    </row>
    <row r="13" spans="3:700" ht="19.25" x14ac:dyDescent="0.65">
      <c r="C13" s="15" t="s">
        <v>19</v>
      </c>
      <c r="D13" s="22" t="s">
        <v>83</v>
      </c>
      <c r="E13" s="17"/>
      <c r="F13" s="15" t="s">
        <v>22</v>
      </c>
      <c r="G13" s="16" t="s">
        <v>86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79</v>
      </c>
      <c r="E17" s="17"/>
      <c r="F17" s="15" t="s">
        <v>42</v>
      </c>
      <c r="G17" s="16">
        <v>109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88</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36929"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36930"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FB12C-E802-4C35-9775-E5A059EEFA06}">
  <sheetPr codeName="Sheet21"/>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127</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73</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66</v>
      </c>
      <c r="E11" s="17"/>
      <c r="F11" s="15" t="s">
        <v>20</v>
      </c>
      <c r="G11" s="16" t="s">
        <v>69</v>
      </c>
      <c r="M11" s="3"/>
      <c r="N11" s="3"/>
    </row>
    <row r="12" spans="3:700" ht="19.25" x14ac:dyDescent="0.65">
      <c r="C12" s="15" t="s">
        <v>18</v>
      </c>
      <c r="D12" s="21" t="s">
        <v>67</v>
      </c>
      <c r="E12" s="17"/>
      <c r="F12" s="15" t="s">
        <v>21</v>
      </c>
      <c r="G12" s="16" t="s">
        <v>70</v>
      </c>
      <c r="M12" s="3"/>
      <c r="N12" s="3"/>
    </row>
    <row r="13" spans="3:700" ht="19.25" x14ac:dyDescent="0.65">
      <c r="C13" s="15" t="s">
        <v>19</v>
      </c>
      <c r="D13" s="22" t="s">
        <v>68</v>
      </c>
      <c r="E13" s="17"/>
      <c r="F13" s="15" t="s">
        <v>22</v>
      </c>
      <c r="G13" s="16" t="s">
        <v>71</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93</v>
      </c>
      <c r="M17" s="3"/>
      <c r="N17" s="3"/>
    </row>
    <row r="18" spans="3:14" ht="19.25" x14ac:dyDescent="0.65">
      <c r="C18" s="15" t="s">
        <v>11</v>
      </c>
      <c r="D18" s="16" t="s">
        <v>33</v>
      </c>
      <c r="E18" s="17"/>
      <c r="F18" s="15" t="s">
        <v>39</v>
      </c>
      <c r="G18" s="18">
        <v>44593</v>
      </c>
      <c r="M18" s="3"/>
      <c r="N18" s="3"/>
    </row>
    <row r="19" spans="3:14" ht="19.25" x14ac:dyDescent="0.65">
      <c r="C19" s="15" t="s">
        <v>12</v>
      </c>
      <c r="D19" s="16"/>
      <c r="E19" s="17"/>
      <c r="F19" s="15" t="s">
        <v>40</v>
      </c>
      <c r="G19" s="27"/>
      <c r="M19" s="3"/>
      <c r="N19" s="3"/>
    </row>
    <row r="20" spans="3:14" ht="19.25" x14ac:dyDescent="0.65">
      <c r="C20" s="15" t="s">
        <v>38</v>
      </c>
      <c r="D20" s="16" t="s">
        <v>74</v>
      </c>
      <c r="E20" s="17"/>
      <c r="F20" s="15" t="s">
        <v>41</v>
      </c>
      <c r="G20" s="27">
        <v>400000</v>
      </c>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35905"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35906"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82876-5070-4EB2-B0CB-FF43530CC8C8}">
  <sheetPr codeName="Sheet20"/>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126</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110</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59</v>
      </c>
      <c r="E11" s="17"/>
      <c r="F11" s="15" t="s">
        <v>20</v>
      </c>
      <c r="G11" s="16" t="s">
        <v>108</v>
      </c>
      <c r="M11" s="3"/>
      <c r="N11" s="3"/>
    </row>
    <row r="12" spans="3:700" ht="19.25" x14ac:dyDescent="0.65">
      <c r="C12" s="15" t="s">
        <v>18</v>
      </c>
      <c r="D12" s="21" t="s">
        <v>106</v>
      </c>
      <c r="E12" s="17"/>
      <c r="F12" s="15" t="s">
        <v>21</v>
      </c>
      <c r="G12" s="16" t="s">
        <v>109</v>
      </c>
      <c r="M12" s="3"/>
      <c r="N12" s="3"/>
    </row>
    <row r="13" spans="3:700" ht="19.25" x14ac:dyDescent="0.65">
      <c r="C13" s="15" t="s">
        <v>19</v>
      </c>
      <c r="D13" s="22" t="s">
        <v>107</v>
      </c>
      <c r="E13" s="17"/>
      <c r="F13" s="15" t="s">
        <v>22</v>
      </c>
      <c r="G13" s="16" t="s">
        <v>58</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104</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111</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34881"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34882"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F00B-5654-4055-AC98-2035E491A890}">
  <sheetPr codeName="Sheet19"/>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125</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99</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94</v>
      </c>
      <c r="E11" s="17"/>
      <c r="F11" s="15" t="s">
        <v>20</v>
      </c>
      <c r="G11" s="16" t="s">
        <v>97</v>
      </c>
      <c r="M11" s="3"/>
      <c r="N11" s="3"/>
    </row>
    <row r="12" spans="3:700" ht="19.25" x14ac:dyDescent="0.65">
      <c r="C12" s="15" t="s">
        <v>18</v>
      </c>
      <c r="D12" s="21" t="s">
        <v>95</v>
      </c>
      <c r="E12" s="17"/>
      <c r="F12" s="15" t="s">
        <v>21</v>
      </c>
      <c r="G12" s="16" t="s">
        <v>98</v>
      </c>
      <c r="M12" s="3"/>
      <c r="N12" s="3"/>
    </row>
    <row r="13" spans="3:700" ht="19.25" x14ac:dyDescent="0.65">
      <c r="C13" s="15" t="s">
        <v>19</v>
      </c>
      <c r="D13" s="22" t="s">
        <v>96</v>
      </c>
      <c r="E13" s="17"/>
      <c r="F13" s="15" t="s">
        <v>22</v>
      </c>
      <c r="G13" s="16" t="s">
        <v>56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59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100</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33857"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33858"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635B6-4AC2-4022-BCA1-4F51578F5D94}">
  <sheetPr codeName="Sheet18"/>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124</v>
      </c>
      <c r="M2" s="3"/>
      <c r="N2" s="3"/>
    </row>
    <row r="3" spans="3:700" ht="26.5" x14ac:dyDescent="1.1000000000000001">
      <c r="C3" s="14" t="s">
        <v>175</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87</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57" x14ac:dyDescent="0.65">
      <c r="C11" s="15" t="s">
        <v>17</v>
      </c>
      <c r="D11" s="16" t="s">
        <v>81</v>
      </c>
      <c r="E11" s="17"/>
      <c r="F11" s="15" t="s">
        <v>20</v>
      </c>
      <c r="G11" s="16" t="s">
        <v>84</v>
      </c>
      <c r="M11" s="3"/>
      <c r="N11" s="3"/>
    </row>
    <row r="12" spans="3:700" ht="38" x14ac:dyDescent="0.65">
      <c r="C12" s="15" t="s">
        <v>18</v>
      </c>
      <c r="D12" s="21" t="s">
        <v>82</v>
      </c>
      <c r="E12" s="17"/>
      <c r="F12" s="15" t="s">
        <v>21</v>
      </c>
      <c r="G12" s="16" t="s">
        <v>85</v>
      </c>
      <c r="M12" s="3"/>
      <c r="N12" s="3"/>
    </row>
    <row r="13" spans="3:700" ht="19.25" x14ac:dyDescent="0.65">
      <c r="C13" s="15" t="s">
        <v>19</v>
      </c>
      <c r="D13" s="22" t="s">
        <v>83</v>
      </c>
      <c r="E13" s="17"/>
      <c r="F13" s="15" t="s">
        <v>22</v>
      </c>
      <c r="G13" s="16" t="s">
        <v>86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79</v>
      </c>
      <c r="E17" s="17"/>
      <c r="F17" s="15" t="s">
        <v>42</v>
      </c>
      <c r="G17" s="16">
        <v>109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88</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32833"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32834"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95718-83E4-4EDD-9D83-239105B33BAC}">
  <sheetPr codeName="Sheet17"/>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122</v>
      </c>
      <c r="M2" s="3"/>
      <c r="N2" s="3"/>
    </row>
    <row r="3" spans="3:700" ht="26.5" x14ac:dyDescent="1.1000000000000001">
      <c r="C3" s="14" t="s">
        <v>174</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73</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66</v>
      </c>
      <c r="E11" s="17"/>
      <c r="F11" s="15" t="s">
        <v>20</v>
      </c>
      <c r="G11" s="16" t="s">
        <v>69</v>
      </c>
      <c r="M11" s="3"/>
      <c r="N11" s="3"/>
    </row>
    <row r="12" spans="3:700" ht="19.25" x14ac:dyDescent="0.65">
      <c r="C12" s="15" t="s">
        <v>18</v>
      </c>
      <c r="D12" s="21" t="s">
        <v>67</v>
      </c>
      <c r="E12" s="17"/>
      <c r="F12" s="15" t="s">
        <v>21</v>
      </c>
      <c r="G12" s="16" t="s">
        <v>70</v>
      </c>
      <c r="M12" s="3"/>
      <c r="N12" s="3"/>
    </row>
    <row r="13" spans="3:700" ht="19.25" x14ac:dyDescent="0.65">
      <c r="C13" s="15" t="s">
        <v>19</v>
      </c>
      <c r="D13" s="22" t="s">
        <v>68</v>
      </c>
      <c r="E13" s="17"/>
      <c r="F13" s="15" t="s">
        <v>22</v>
      </c>
      <c r="G13" s="16" t="s">
        <v>71</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93</v>
      </c>
      <c r="M17" s="3"/>
      <c r="N17" s="3"/>
    </row>
    <row r="18" spans="3:14" ht="19.25" x14ac:dyDescent="0.65">
      <c r="C18" s="15" t="s">
        <v>11</v>
      </c>
      <c r="D18" s="16" t="s">
        <v>33</v>
      </c>
      <c r="E18" s="17"/>
      <c r="F18" s="15" t="s">
        <v>39</v>
      </c>
      <c r="G18" s="18">
        <v>44593</v>
      </c>
      <c r="M18" s="3"/>
      <c r="N18" s="3"/>
    </row>
    <row r="19" spans="3:14" ht="19.25" x14ac:dyDescent="0.65">
      <c r="C19" s="15" t="s">
        <v>12</v>
      </c>
      <c r="D19" s="16"/>
      <c r="E19" s="17"/>
      <c r="F19" s="15" t="s">
        <v>40</v>
      </c>
      <c r="G19" s="27"/>
      <c r="M19" s="3"/>
      <c r="N19" s="3"/>
    </row>
    <row r="20" spans="3:14" ht="19.25" x14ac:dyDescent="0.65">
      <c r="C20" s="15" t="s">
        <v>38</v>
      </c>
      <c r="D20" s="16" t="s">
        <v>74</v>
      </c>
      <c r="E20" s="17"/>
      <c r="F20" s="15" t="s">
        <v>41</v>
      </c>
      <c r="G20" s="27">
        <v>400000</v>
      </c>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31809"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31810"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E2D63-91EC-4886-8ACF-05E71A91B4D8}">
  <sheetPr codeName="Sheet16"/>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121</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110</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59</v>
      </c>
      <c r="E11" s="17"/>
      <c r="F11" s="15" t="s">
        <v>20</v>
      </c>
      <c r="G11" s="16" t="s">
        <v>108</v>
      </c>
      <c r="M11" s="3"/>
      <c r="N11" s="3"/>
    </row>
    <row r="12" spans="3:700" ht="19.25" x14ac:dyDescent="0.65">
      <c r="C12" s="15" t="s">
        <v>18</v>
      </c>
      <c r="D12" s="21" t="s">
        <v>106</v>
      </c>
      <c r="E12" s="17"/>
      <c r="F12" s="15" t="s">
        <v>21</v>
      </c>
      <c r="G12" s="16" t="s">
        <v>109</v>
      </c>
      <c r="M12" s="3"/>
      <c r="N12" s="3"/>
    </row>
    <row r="13" spans="3:700" ht="19.25" x14ac:dyDescent="0.65">
      <c r="C13" s="15" t="s">
        <v>19</v>
      </c>
      <c r="D13" s="22" t="s">
        <v>107</v>
      </c>
      <c r="E13" s="17"/>
      <c r="F13" s="15" t="s">
        <v>22</v>
      </c>
      <c r="G13" s="16" t="s">
        <v>58</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104</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111</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30785"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30786"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05BCF-0741-44DE-BC2A-432359F72595}">
  <sheetPr codeName="Sheet15"/>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120</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99</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94</v>
      </c>
      <c r="E11" s="17"/>
      <c r="F11" s="15" t="s">
        <v>20</v>
      </c>
      <c r="G11" s="16" t="s">
        <v>97</v>
      </c>
      <c r="M11" s="3"/>
      <c r="N11" s="3"/>
    </row>
    <row r="12" spans="3:700" ht="19.25" x14ac:dyDescent="0.65">
      <c r="C12" s="15" t="s">
        <v>18</v>
      </c>
      <c r="D12" s="21" t="s">
        <v>95</v>
      </c>
      <c r="E12" s="17"/>
      <c r="F12" s="15" t="s">
        <v>21</v>
      </c>
      <c r="G12" s="16" t="s">
        <v>98</v>
      </c>
      <c r="M12" s="3"/>
      <c r="N12" s="3"/>
    </row>
    <row r="13" spans="3:700" ht="19.25" x14ac:dyDescent="0.65">
      <c r="C13" s="15" t="s">
        <v>19</v>
      </c>
      <c r="D13" s="22" t="s">
        <v>96</v>
      </c>
      <c r="E13" s="17"/>
      <c r="F13" s="15" t="s">
        <v>22</v>
      </c>
      <c r="G13" s="16" t="s">
        <v>56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59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100</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29761"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29762"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AF2E7-411F-4DAE-B914-C3515DD964AC}">
  <sheetPr codeName="Sheet14"/>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119</v>
      </c>
      <c r="M2" s="3"/>
      <c r="N2" s="3"/>
    </row>
    <row r="3" spans="3:700" ht="26.5" x14ac:dyDescent="1.1000000000000001">
      <c r="C3" s="14" t="s">
        <v>173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87</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57" x14ac:dyDescent="0.65">
      <c r="C11" s="15" t="s">
        <v>17</v>
      </c>
      <c r="D11" s="16" t="s">
        <v>81</v>
      </c>
      <c r="E11" s="17"/>
      <c r="F11" s="15" t="s">
        <v>20</v>
      </c>
      <c r="G11" s="16" t="s">
        <v>84</v>
      </c>
      <c r="M11" s="3"/>
      <c r="N11" s="3"/>
    </row>
    <row r="12" spans="3:700" ht="38" x14ac:dyDescent="0.65">
      <c r="C12" s="15" t="s">
        <v>18</v>
      </c>
      <c r="D12" s="21" t="s">
        <v>82</v>
      </c>
      <c r="E12" s="17"/>
      <c r="F12" s="15" t="s">
        <v>21</v>
      </c>
      <c r="G12" s="16" t="s">
        <v>85</v>
      </c>
      <c r="M12" s="3"/>
      <c r="N12" s="3"/>
    </row>
    <row r="13" spans="3:700" ht="19.25" x14ac:dyDescent="0.65">
      <c r="C13" s="15" t="s">
        <v>19</v>
      </c>
      <c r="D13" s="22" t="s">
        <v>83</v>
      </c>
      <c r="E13" s="17"/>
      <c r="F13" s="15" t="s">
        <v>22</v>
      </c>
      <c r="G13" s="16" t="s">
        <v>86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79</v>
      </c>
      <c r="E17" s="17"/>
      <c r="F17" s="15" t="s">
        <v>42</v>
      </c>
      <c r="G17" s="16">
        <v>109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88</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28737"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28738"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32863-8573-468D-8EB5-F5A89972182D}">
  <sheetPr codeName="Sheet13"/>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118</v>
      </c>
      <c r="M2" s="3"/>
      <c r="N2" s="3"/>
    </row>
    <row r="3" spans="3:700" ht="26.5" x14ac:dyDescent="1.1000000000000001">
      <c r="C3" s="14" t="s">
        <v>172</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73</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66</v>
      </c>
      <c r="E11" s="17"/>
      <c r="F11" s="15" t="s">
        <v>20</v>
      </c>
      <c r="G11" s="16" t="s">
        <v>69</v>
      </c>
      <c r="M11" s="3"/>
      <c r="N11" s="3"/>
    </row>
    <row r="12" spans="3:700" ht="19.25" x14ac:dyDescent="0.65">
      <c r="C12" s="15" t="s">
        <v>18</v>
      </c>
      <c r="D12" s="21" t="s">
        <v>67</v>
      </c>
      <c r="E12" s="17"/>
      <c r="F12" s="15" t="s">
        <v>21</v>
      </c>
      <c r="G12" s="16" t="s">
        <v>70</v>
      </c>
      <c r="M12" s="3"/>
      <c r="N12" s="3"/>
    </row>
    <row r="13" spans="3:700" ht="19.25" x14ac:dyDescent="0.65">
      <c r="C13" s="15" t="s">
        <v>19</v>
      </c>
      <c r="D13" s="22" t="s">
        <v>68</v>
      </c>
      <c r="E13" s="17"/>
      <c r="F13" s="15" t="s">
        <v>22</v>
      </c>
      <c r="G13" s="16" t="s">
        <v>71</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93</v>
      </c>
      <c r="M17" s="3"/>
      <c r="N17" s="3"/>
    </row>
    <row r="18" spans="3:14" ht="19.25" x14ac:dyDescent="0.65">
      <c r="C18" s="15" t="s">
        <v>11</v>
      </c>
      <c r="D18" s="16" t="s">
        <v>33</v>
      </c>
      <c r="E18" s="17"/>
      <c r="F18" s="15" t="s">
        <v>39</v>
      </c>
      <c r="G18" s="18">
        <v>44593</v>
      </c>
      <c r="M18" s="3"/>
      <c r="N18" s="3"/>
    </row>
    <row r="19" spans="3:14" ht="19.25" x14ac:dyDescent="0.65">
      <c r="C19" s="15" t="s">
        <v>12</v>
      </c>
      <c r="D19" s="16"/>
      <c r="E19" s="17"/>
      <c r="F19" s="15" t="s">
        <v>40</v>
      </c>
      <c r="G19" s="27"/>
      <c r="M19" s="3"/>
      <c r="N19" s="3"/>
    </row>
    <row r="20" spans="3:14" ht="19.25" x14ac:dyDescent="0.65">
      <c r="C20" s="15" t="s">
        <v>38</v>
      </c>
      <c r="D20" s="16" t="s">
        <v>74</v>
      </c>
      <c r="E20" s="17"/>
      <c r="F20" s="15" t="s">
        <v>41</v>
      </c>
      <c r="G20" s="27">
        <v>400000</v>
      </c>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27713"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27714"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73118-685D-44AC-93A2-EF278F2BBE63}">
  <sheetPr codeName="Sheet12"/>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117</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110</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59</v>
      </c>
      <c r="E11" s="17"/>
      <c r="F11" s="15" t="s">
        <v>20</v>
      </c>
      <c r="G11" s="16" t="s">
        <v>108</v>
      </c>
      <c r="M11" s="3"/>
      <c r="N11" s="3"/>
    </row>
    <row r="12" spans="3:700" ht="19.25" x14ac:dyDescent="0.65">
      <c r="C12" s="15" t="s">
        <v>18</v>
      </c>
      <c r="D12" s="21" t="s">
        <v>106</v>
      </c>
      <c r="E12" s="17"/>
      <c r="F12" s="15" t="s">
        <v>21</v>
      </c>
      <c r="G12" s="16" t="s">
        <v>109</v>
      </c>
      <c r="M12" s="3"/>
      <c r="N12" s="3"/>
    </row>
    <row r="13" spans="3:700" ht="19.25" x14ac:dyDescent="0.65">
      <c r="C13" s="15" t="s">
        <v>19</v>
      </c>
      <c r="D13" s="22" t="s">
        <v>107</v>
      </c>
      <c r="E13" s="17"/>
      <c r="F13" s="15" t="s">
        <v>22</v>
      </c>
      <c r="G13" s="16" t="s">
        <v>58</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104</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111</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26689"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26690"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060B1-98E4-49ED-86E7-FBDFCC8FDF52}">
  <sheetPr codeName="Sheet11"/>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116</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99</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94</v>
      </c>
      <c r="E11" s="17"/>
      <c r="F11" s="15" t="s">
        <v>20</v>
      </c>
      <c r="G11" s="16" t="s">
        <v>97</v>
      </c>
      <c r="M11" s="3"/>
      <c r="N11" s="3"/>
    </row>
    <row r="12" spans="3:700" ht="19.25" x14ac:dyDescent="0.65">
      <c r="C12" s="15" t="s">
        <v>18</v>
      </c>
      <c r="D12" s="21" t="s">
        <v>95</v>
      </c>
      <c r="E12" s="17"/>
      <c r="F12" s="15" t="s">
        <v>21</v>
      </c>
      <c r="G12" s="16" t="s">
        <v>98</v>
      </c>
      <c r="M12" s="3"/>
      <c r="N12" s="3"/>
    </row>
    <row r="13" spans="3:700" ht="19.25" x14ac:dyDescent="0.65">
      <c r="C13" s="15" t="s">
        <v>19</v>
      </c>
      <c r="D13" s="22" t="s">
        <v>96</v>
      </c>
      <c r="E13" s="17"/>
      <c r="F13" s="15" t="s">
        <v>22</v>
      </c>
      <c r="G13" s="16" t="s">
        <v>56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59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100</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25665"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25666"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EFF52-5A68-450A-9CCF-93EB7138087C}">
  <sheetPr codeName="Sheet10"/>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115</v>
      </c>
      <c r="M2" s="3"/>
      <c r="N2" s="3"/>
    </row>
    <row r="3" spans="3:700" ht="26.5" x14ac:dyDescent="1.1000000000000001">
      <c r="C3" s="14" t="s">
        <v>171</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87</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57" x14ac:dyDescent="0.65">
      <c r="C11" s="15" t="s">
        <v>17</v>
      </c>
      <c r="D11" s="16" t="s">
        <v>81</v>
      </c>
      <c r="E11" s="17"/>
      <c r="F11" s="15" t="s">
        <v>20</v>
      </c>
      <c r="G11" s="16" t="s">
        <v>84</v>
      </c>
      <c r="M11" s="3"/>
      <c r="N11" s="3"/>
    </row>
    <row r="12" spans="3:700" ht="38" x14ac:dyDescent="0.65">
      <c r="C12" s="15" t="s">
        <v>18</v>
      </c>
      <c r="D12" s="21" t="s">
        <v>82</v>
      </c>
      <c r="E12" s="17"/>
      <c r="F12" s="15" t="s">
        <v>21</v>
      </c>
      <c r="G12" s="16" t="s">
        <v>85</v>
      </c>
      <c r="M12" s="3"/>
      <c r="N12" s="3"/>
    </row>
    <row r="13" spans="3:700" ht="19.25" x14ac:dyDescent="0.65">
      <c r="C13" s="15" t="s">
        <v>19</v>
      </c>
      <c r="D13" s="22" t="s">
        <v>83</v>
      </c>
      <c r="E13" s="17"/>
      <c r="F13" s="15" t="s">
        <v>22</v>
      </c>
      <c r="G13" s="16" t="s">
        <v>86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79</v>
      </c>
      <c r="E17" s="17"/>
      <c r="F17" s="15" t="s">
        <v>42</v>
      </c>
      <c r="G17" s="16">
        <v>109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88</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24641"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24642"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0FA31-435B-49CD-9A00-33D854C475EF}">
  <sheetPr codeName="Sheet9"/>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114</v>
      </c>
      <c r="M2" s="3"/>
      <c r="N2" s="3"/>
    </row>
    <row r="3" spans="3:700" ht="26.5" x14ac:dyDescent="1.1000000000000001">
      <c r="C3" s="14" t="s">
        <v>170</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73</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66</v>
      </c>
      <c r="E11" s="17"/>
      <c r="F11" s="15" t="s">
        <v>20</v>
      </c>
      <c r="G11" s="16" t="s">
        <v>69</v>
      </c>
      <c r="M11" s="3"/>
      <c r="N11" s="3"/>
    </row>
    <row r="12" spans="3:700" ht="19.25" x14ac:dyDescent="0.65">
      <c r="C12" s="15" t="s">
        <v>18</v>
      </c>
      <c r="D12" s="21" t="s">
        <v>67</v>
      </c>
      <c r="E12" s="17"/>
      <c r="F12" s="15" t="s">
        <v>21</v>
      </c>
      <c r="G12" s="16" t="s">
        <v>70</v>
      </c>
      <c r="M12" s="3"/>
      <c r="N12" s="3"/>
    </row>
    <row r="13" spans="3:700" ht="19.25" x14ac:dyDescent="0.65">
      <c r="C13" s="15" t="s">
        <v>19</v>
      </c>
      <c r="D13" s="22" t="s">
        <v>68</v>
      </c>
      <c r="E13" s="17"/>
      <c r="F13" s="15" t="s">
        <v>22</v>
      </c>
      <c r="G13" s="16" t="s">
        <v>71</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93</v>
      </c>
      <c r="M17" s="3"/>
      <c r="N17" s="3"/>
    </row>
    <row r="18" spans="3:14" ht="19.25" x14ac:dyDescent="0.65">
      <c r="C18" s="15" t="s">
        <v>11</v>
      </c>
      <c r="D18" s="16" t="s">
        <v>33</v>
      </c>
      <c r="E18" s="17"/>
      <c r="F18" s="15" t="s">
        <v>39</v>
      </c>
      <c r="G18" s="18">
        <v>44593</v>
      </c>
      <c r="M18" s="3"/>
      <c r="N18" s="3"/>
    </row>
    <row r="19" spans="3:14" ht="19.25" x14ac:dyDescent="0.65">
      <c r="C19" s="15" t="s">
        <v>12</v>
      </c>
      <c r="D19" s="16"/>
      <c r="E19" s="17"/>
      <c r="F19" s="15" t="s">
        <v>40</v>
      </c>
      <c r="G19" s="27"/>
      <c r="M19" s="3"/>
      <c r="N19" s="3"/>
    </row>
    <row r="20" spans="3:14" ht="19.25" x14ac:dyDescent="0.65">
      <c r="C20" s="15" t="s">
        <v>38</v>
      </c>
      <c r="D20" s="16" t="s">
        <v>74</v>
      </c>
      <c r="E20" s="17"/>
      <c r="F20" s="15" t="s">
        <v>41</v>
      </c>
      <c r="G20" s="27">
        <v>400000</v>
      </c>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23617"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23618"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DAB9A-384E-45EE-8F8C-153D413AB520}">
  <sheetPr codeName="Sheet8"/>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104</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110</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59</v>
      </c>
      <c r="E11" s="17"/>
      <c r="F11" s="15" t="s">
        <v>20</v>
      </c>
      <c r="G11" s="16" t="s">
        <v>108</v>
      </c>
      <c r="M11" s="3"/>
      <c r="N11" s="3"/>
    </row>
    <row r="12" spans="3:700" ht="19.25" x14ac:dyDescent="0.65">
      <c r="C12" s="15" t="s">
        <v>18</v>
      </c>
      <c r="D12" s="21" t="s">
        <v>106</v>
      </c>
      <c r="E12" s="17"/>
      <c r="F12" s="15" t="s">
        <v>21</v>
      </c>
      <c r="G12" s="16" t="s">
        <v>109</v>
      </c>
      <c r="M12" s="3"/>
      <c r="N12" s="3"/>
    </row>
    <row r="13" spans="3:700" ht="19.25" x14ac:dyDescent="0.65">
      <c r="C13" s="15" t="s">
        <v>19</v>
      </c>
      <c r="D13" s="22" t="s">
        <v>107</v>
      </c>
      <c r="E13" s="17"/>
      <c r="F13" s="15" t="s">
        <v>22</v>
      </c>
      <c r="G13" s="16" t="s">
        <v>58</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104</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111</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22593"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22594"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0A8B60-736B-4131-8F3E-9110CF95FF38}">
  <sheetPr codeName="Sheet7"/>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92</v>
      </c>
      <c r="M2" s="3"/>
      <c r="N2" s="3"/>
    </row>
    <row r="3" spans="3:700" ht="26.5" x14ac:dyDescent="1.1000000000000001">
      <c r="C3" s="14" t="s">
        <v>169</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99</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94</v>
      </c>
      <c r="E11" s="17"/>
      <c r="F11" s="15" t="s">
        <v>20</v>
      </c>
      <c r="G11" s="16" t="s">
        <v>97</v>
      </c>
      <c r="M11" s="3"/>
      <c r="N11" s="3"/>
    </row>
    <row r="12" spans="3:700" ht="19.25" x14ac:dyDescent="0.65">
      <c r="C12" s="15" t="s">
        <v>18</v>
      </c>
      <c r="D12" s="21" t="s">
        <v>95</v>
      </c>
      <c r="E12" s="17"/>
      <c r="F12" s="15" t="s">
        <v>21</v>
      </c>
      <c r="G12" s="16" t="s">
        <v>98</v>
      </c>
      <c r="M12" s="3"/>
      <c r="N12" s="3"/>
    </row>
    <row r="13" spans="3:700" ht="19.25" x14ac:dyDescent="0.65">
      <c r="C13" s="15" t="s">
        <v>19</v>
      </c>
      <c r="D13" s="22" t="s">
        <v>96</v>
      </c>
      <c r="E13" s="17"/>
      <c r="F13" s="15" t="s">
        <v>22</v>
      </c>
      <c r="G13" s="16" t="s">
        <v>56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59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100</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21569"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21570"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117BE-603F-4005-A642-92B80529FAB1}">
  <sheetPr codeName="Sheet6"/>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78</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87</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57" x14ac:dyDescent="0.65">
      <c r="C11" s="15" t="s">
        <v>17</v>
      </c>
      <c r="D11" s="16" t="s">
        <v>81</v>
      </c>
      <c r="E11" s="17"/>
      <c r="F11" s="15" t="s">
        <v>20</v>
      </c>
      <c r="G11" s="16" t="s">
        <v>84</v>
      </c>
      <c r="M11" s="3"/>
      <c r="N11" s="3"/>
    </row>
    <row r="12" spans="3:700" ht="38" x14ac:dyDescent="0.65">
      <c r="C12" s="15" t="s">
        <v>18</v>
      </c>
      <c r="D12" s="21" t="s">
        <v>82</v>
      </c>
      <c r="E12" s="17"/>
      <c r="F12" s="15" t="s">
        <v>21</v>
      </c>
      <c r="G12" s="16" t="s">
        <v>85</v>
      </c>
      <c r="M12" s="3"/>
      <c r="N12" s="3"/>
    </row>
    <row r="13" spans="3:700" ht="19.25" x14ac:dyDescent="0.65">
      <c r="C13" s="15" t="s">
        <v>19</v>
      </c>
      <c r="D13" s="22" t="s">
        <v>83</v>
      </c>
      <c r="E13" s="17"/>
      <c r="F13" s="15" t="s">
        <v>22</v>
      </c>
      <c r="G13" s="16" t="s">
        <v>86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79</v>
      </c>
      <c r="E17" s="17"/>
      <c r="F17" s="15" t="s">
        <v>42</v>
      </c>
      <c r="G17" s="16">
        <v>109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88</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20545"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20546"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5EB6B-50C7-4477-9A39-E88A8F097897}">
  <sheetPr codeName="Sheet5"/>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63</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73</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66</v>
      </c>
      <c r="E11" s="17"/>
      <c r="F11" s="15" t="s">
        <v>20</v>
      </c>
      <c r="G11" s="16" t="s">
        <v>69</v>
      </c>
      <c r="M11" s="3"/>
      <c r="N11" s="3"/>
    </row>
    <row r="12" spans="3:700" ht="19.25" x14ac:dyDescent="0.65">
      <c r="C12" s="15" t="s">
        <v>18</v>
      </c>
      <c r="D12" s="21" t="s">
        <v>67</v>
      </c>
      <c r="E12" s="17"/>
      <c r="F12" s="15" t="s">
        <v>21</v>
      </c>
      <c r="G12" s="16" t="s">
        <v>70</v>
      </c>
      <c r="M12" s="3"/>
      <c r="N12" s="3"/>
    </row>
    <row r="13" spans="3:700" ht="19.25" x14ac:dyDescent="0.65">
      <c r="C13" s="15" t="s">
        <v>19</v>
      </c>
      <c r="D13" s="22" t="s">
        <v>68</v>
      </c>
      <c r="E13" s="17"/>
      <c r="F13" s="15" t="s">
        <v>22</v>
      </c>
      <c r="G13" s="16" t="s">
        <v>71</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93</v>
      </c>
      <c r="M17" s="3"/>
      <c r="N17" s="3"/>
    </row>
    <row r="18" spans="3:14" ht="19.25" x14ac:dyDescent="0.65">
      <c r="C18" s="15" t="s">
        <v>11</v>
      </c>
      <c r="D18" s="16" t="s">
        <v>33</v>
      </c>
      <c r="E18" s="17"/>
      <c r="F18" s="15" t="s">
        <v>39</v>
      </c>
      <c r="G18" s="18">
        <v>44593</v>
      </c>
      <c r="M18" s="3"/>
      <c r="N18" s="3"/>
    </row>
    <row r="19" spans="3:14" ht="19.25" x14ac:dyDescent="0.65">
      <c r="C19" s="15" t="s">
        <v>12</v>
      </c>
      <c r="D19" s="16"/>
      <c r="E19" s="17"/>
      <c r="F19" s="15" t="s">
        <v>40</v>
      </c>
      <c r="G19" s="27"/>
      <c r="M19" s="3"/>
      <c r="N19" s="3"/>
    </row>
    <row r="20" spans="3:14" ht="19.25" x14ac:dyDescent="0.65">
      <c r="C20" s="15" t="s">
        <v>38</v>
      </c>
      <c r="D20" s="16" t="s">
        <v>74</v>
      </c>
      <c r="E20" s="17"/>
      <c r="F20" s="15" t="s">
        <v>41</v>
      </c>
      <c r="G20" s="27">
        <v>400000</v>
      </c>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19521"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619522"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1:ZX77"/>
  <sheetViews>
    <sheetView zoomScale="40" zoomScaleNormal="40" workbookViewId="0">
      <selection activeCell="P16" sqref="P16"/>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tr" cm="1">
        <f t="array" ref="C2">INDEX(Fives[],$J$1,4)</f>
        <v>HeroDevs</v>
      </c>
      <c r="M2" s="3"/>
      <c r="N2" s="3"/>
    </row>
    <row r="3" spans="3:700" ht="26.5" x14ac:dyDescent="1.1000000000000001">
      <c r="C3" s="14" t="str" cm="1">
        <f t="array" ref="C3">"Upgraded by "&amp;INDEX(Fives[Upgraded by Combined],$J$1,1)</f>
        <v>Upgraded by Classic Crew</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tr" cm="1">
        <f t="array" ref="C7">IF(INDEX(Fives[],$J$1,29)=0,"",INDEX(Fives[],$J$1,29))</f>
        <v>HeroDevs, LLC is a software development company. Its products include NES Vue 2, NES Angular, AngularJS XLTS, NES Protractor, Endbridge. The company offers Web, Web Development, Architecture, Open Source, End-of-Life, Angular, Vue, Nx, React, Cypress, and AngularJs. It provides services to its clients and business consumers.</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tr" cm="1">
        <f t="array" ref="D11">IF(INDEX(Fives[],$J$1,21)=0,"",INDEX(Fives[],$J$1,21))</f>
        <v>$19M of product rev, $10M of services</v>
      </c>
      <c r="E11" s="17"/>
      <c r="F11" s="15" t="s">
        <v>20</v>
      </c>
      <c r="G11" s="16" t="str" cm="1">
        <f t="array" ref="G11">IF(INDEX(Fives[],$J$1,24)=0,"",INDEX(Fives[],$J$1,24))</f>
        <v>recurring product rev. and services</v>
      </c>
      <c r="M11" s="3"/>
      <c r="N11" s="3"/>
    </row>
    <row r="12" spans="3:700" ht="19.25" x14ac:dyDescent="0.65">
      <c r="C12" s="15" t="s">
        <v>18</v>
      </c>
      <c r="D12" s="21" t="str" cm="1">
        <f t="array" ref="D12">IF(INDEX(Fives[],$J$1,22)=0,"",INDEX(Fives[],$J$1,22))</f>
        <v>50%+</v>
      </c>
      <c r="E12" s="17"/>
      <c r="F12" s="15" t="s">
        <v>21</v>
      </c>
      <c r="G12" s="16" t="str" cm="1">
        <f t="array" ref="G12">IF(INDEX(Fives[],$J$1,25)=0,"",INDEX(Fives[],$J$1,25))</f>
        <v>$8M from Album, rest is founder</v>
      </c>
      <c r="M12" s="3"/>
      <c r="N12" s="3"/>
    </row>
    <row r="13" spans="3:700" ht="19.25" x14ac:dyDescent="0.65">
      <c r="C13" s="15" t="s">
        <v>19</v>
      </c>
      <c r="D13" s="22" t="str" cm="1">
        <f t="array" ref="D13">IF(INDEX(Fives[],$J$1,23)=0,"",INDEX(Fives[],$J$1,23))</f>
        <v>$12m of EBITDA</v>
      </c>
      <c r="E13" s="17"/>
      <c r="F13" s="15" t="s">
        <v>22</v>
      </c>
      <c r="G13" s="16" t="str" cm="1">
        <f t="array" ref="G13">IF(INDEX(Fives[],$J$1,26)=0,"",INDEX(Fives[],$J$1,26))</f>
        <v>None</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tr" cm="1">
        <f t="array" ref="D17">IF(INDEX(Fives[],$J$1,6)="",INDEX(Fives[],$J$1,5),IF(ISNUMBER(FIND(INDEX(Fives[],$J$1,5),INDEX(Fives[],$J$1,6))),INDEX(Fives[],$J$1,6),INDEX(Fives[],$J$1,5)&amp;"; "&amp;INDEX(Fives[],$J$1,6)))</f>
        <v>Ben MacShane</v>
      </c>
      <c r="E17" s="17"/>
      <c r="F17" s="15" t="s">
        <v>42</v>
      </c>
      <c r="G17" s="16" cm="1">
        <f t="array" ref="G17">IF(INDEX(Fives[],$J$1,30)=0,"",INDEX(Fives[],$J$1,30))</f>
        <v>59</v>
      </c>
      <c r="M17" s="3"/>
      <c r="N17" s="3"/>
    </row>
    <row r="18" spans="3:14" ht="19.25" x14ac:dyDescent="0.65">
      <c r="C18" s="15" t="s">
        <v>11</v>
      </c>
      <c r="D18" s="16" t="str" cm="1">
        <f t="array" ref="D18">IF(INDEX(Fives[],$J$1,15)=0,"",INDEX(Fives[],$J$1,15))</f>
        <v>Proprietary</v>
      </c>
      <c r="E18" s="17"/>
      <c r="F18" s="15" t="s">
        <v>39</v>
      </c>
      <c r="G18" s="18" t="str" cm="1">
        <f t="array" ref="G18">IF(INDEX(Fives[],$J$1,32)=0,"",INDEX(Fives[],$J$1,32))</f>
        <v/>
      </c>
      <c r="M18" s="3"/>
      <c r="N18" s="3"/>
    </row>
    <row r="19" spans="3:14" ht="19.25" x14ac:dyDescent="0.65">
      <c r="C19" s="15" t="s">
        <v>12</v>
      </c>
      <c r="D19" s="16" t="str" cm="1">
        <f t="array" ref="D19">IF(INDEX(Fives[],$J$1,16)=0,"",INDEX(Fives[],$J$1,16))</f>
        <v/>
      </c>
      <c r="E19" s="17"/>
      <c r="F19" s="15" t="s">
        <v>40</v>
      </c>
      <c r="G19" s="27" t="str" cm="1">
        <f t="array" ref="G19">IF(INDEX(Fives[],$J$1,31)=0,"",INDEX(Fives[],$J$1,31))</f>
        <v/>
      </c>
      <c r="M19" s="3"/>
      <c r="N19" s="3"/>
    </row>
    <row r="20" spans="3:14" ht="19.25" x14ac:dyDescent="0.65">
      <c r="C20" s="15" t="s">
        <v>38</v>
      </c>
      <c r="D20" s="16" t="str" cm="1">
        <f t="array" ref="D20">IF(INDEX(Fives[],$J$1,35)=0,"",INDEX(Fives[],$J$1,35))</f>
        <v>https://www.herodevs.com</v>
      </c>
      <c r="E20" s="17"/>
      <c r="F20" s="15" t="s">
        <v>41</v>
      </c>
      <c r="G20" s="27" t="str" cm="1">
        <f t="array" ref="G20">IF(INDEX(Fives[],$J$1,33)=0,"",INDEX(Fives[],$J$1,33))</f>
        <v/>
      </c>
      <c r="M20" s="3"/>
      <c r="N20" s="3"/>
    </row>
    <row r="21" spans="3:14" ht="19.25" x14ac:dyDescent="0.85">
      <c r="C21" s="29" t="s">
        <v>52</v>
      </c>
      <c r="D21" s="28" t="str" cm="1">
        <f t="array" ref="D21">IF(INDEX(Fives[],$J$1,36)=0,"",INDEX(Fives[],$J$1,36))</f>
        <v>USA</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3074"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L49"/>
  <sheetViews>
    <sheetView zoomScaleNormal="100" workbookViewId="0">
      <pane ySplit="1" topLeftCell="A2" activePane="bottomLeft" state="frozen"/>
      <selection activeCell="G20" sqref="G20"/>
      <selection pane="bottomLeft" activeCell="A3" sqref="A3"/>
    </sheetView>
  </sheetViews>
  <sheetFormatPr defaultColWidth="10.6640625" defaultRowHeight="16" x14ac:dyDescent="0.8"/>
  <cols>
    <col min="1" max="1" width="21.5" customWidth="1"/>
    <col min="2" max="2" width="20.33203125" customWidth="1"/>
    <col min="3" max="3" width="19.33203125" customWidth="1"/>
    <col min="4" max="4" width="23.83203125" customWidth="1"/>
    <col min="5" max="5" width="17.33203125" bestFit="1" customWidth="1"/>
    <col min="6" max="6" width="18" customWidth="1"/>
    <col min="7" max="7" width="23.33203125" customWidth="1"/>
    <col min="8" max="8" width="11.33203125" bestFit="1" customWidth="1"/>
    <col min="9" max="10" width="22.83203125" hidden="1" customWidth="1"/>
    <col min="11" max="11" width="20.33203125" hidden="1" customWidth="1"/>
    <col min="12" max="12" width="15.83203125" hidden="1" customWidth="1"/>
    <col min="13" max="13" width="24" hidden="1" customWidth="1"/>
    <col min="14" max="14" width="18.5" customWidth="1"/>
    <col min="15" max="15" width="22.6640625" customWidth="1"/>
    <col min="16" max="16" width="19.33203125" customWidth="1"/>
    <col min="17" max="17" width="16.5" hidden="1" customWidth="1"/>
    <col min="18" max="18" width="12.5" hidden="1" customWidth="1"/>
    <col min="19" max="19" width="21.1640625" hidden="1" customWidth="1"/>
    <col min="20" max="20" width="30.5" hidden="1" customWidth="1"/>
    <col min="21" max="21" width="26" customWidth="1"/>
    <col min="22" max="22" width="13.6640625" customWidth="1"/>
    <col min="23" max="23" width="23.1640625" customWidth="1"/>
    <col min="24" max="24" width="15" customWidth="1"/>
    <col min="25" max="25" width="18.5" customWidth="1"/>
    <col min="26" max="26" width="21.6640625" customWidth="1"/>
    <col min="27" max="27" width="21.83203125" hidden="1" customWidth="1"/>
    <col min="28" max="28" width="25.5" hidden="1" customWidth="1"/>
    <col min="29" max="29" width="25.6640625" customWidth="1"/>
    <col min="30" max="30" width="22.5" customWidth="1"/>
    <col min="31" max="31" width="19.5" customWidth="1"/>
    <col min="32" max="32" width="12.83203125" customWidth="1"/>
    <col min="33" max="33" width="16.33203125" customWidth="1"/>
    <col min="34" max="34" width="18.33203125" customWidth="1"/>
    <col min="35" max="36" width="22.83203125" customWidth="1"/>
    <col min="37" max="37" width="19.5" bestFit="1" customWidth="1"/>
    <col min="38" max="38" width="35.33203125" bestFit="1" customWidth="1"/>
    <col min="40" max="40" width="11.83203125" customWidth="1"/>
  </cols>
  <sheetData>
    <row r="1" spans="1:38" x14ac:dyDescent="0.8">
      <c r="A1" t="s">
        <v>0</v>
      </c>
      <c r="B1" t="s">
        <v>1</v>
      </c>
      <c r="C1" t="s">
        <v>2</v>
      </c>
      <c r="D1" t="s">
        <v>3</v>
      </c>
      <c r="E1" t="s">
        <v>45</v>
      </c>
      <c r="F1" t="s">
        <v>36</v>
      </c>
      <c r="G1" s="20" t="s">
        <v>35</v>
      </c>
      <c r="H1" t="s">
        <v>4</v>
      </c>
      <c r="I1" t="s">
        <v>5</v>
      </c>
      <c r="J1" t="s">
        <v>6</v>
      </c>
      <c r="K1" t="s">
        <v>7</v>
      </c>
      <c r="L1" t="s">
        <v>8</v>
      </c>
      <c r="M1" t="s">
        <v>9</v>
      </c>
      <c r="N1" t="s">
        <v>10</v>
      </c>
      <c r="O1" s="20" t="s">
        <v>11</v>
      </c>
      <c r="P1" s="20" t="s">
        <v>12</v>
      </c>
      <c r="Q1" t="s">
        <v>13</v>
      </c>
      <c r="R1" t="s">
        <v>14</v>
      </c>
      <c r="S1" t="s">
        <v>15</v>
      </c>
      <c r="T1" t="s">
        <v>16</v>
      </c>
      <c r="U1" t="s">
        <v>17</v>
      </c>
      <c r="V1" t="s">
        <v>18</v>
      </c>
      <c r="W1" t="s">
        <v>19</v>
      </c>
      <c r="X1" t="s">
        <v>20</v>
      </c>
      <c r="Y1" t="s">
        <v>21</v>
      </c>
      <c r="Z1" t="s">
        <v>22</v>
      </c>
      <c r="AA1" t="s">
        <v>23</v>
      </c>
      <c r="AB1" t="s">
        <v>24</v>
      </c>
      <c r="AC1" t="s">
        <v>25</v>
      </c>
      <c r="AD1" t="s">
        <v>26</v>
      </c>
      <c r="AE1" t="s">
        <v>27</v>
      </c>
      <c r="AF1" t="s">
        <v>28</v>
      </c>
      <c r="AG1" t="s">
        <v>29</v>
      </c>
      <c r="AH1" t="s">
        <v>30</v>
      </c>
      <c r="AI1" t="s">
        <v>38</v>
      </c>
      <c r="AJ1" t="s">
        <v>50</v>
      </c>
      <c r="AK1" s="20" t="s">
        <v>47</v>
      </c>
      <c r="AL1" s="20" t="s">
        <v>46</v>
      </c>
    </row>
    <row r="2" spans="1:38" x14ac:dyDescent="0.8">
      <c r="A2" t="s">
        <v>60</v>
      </c>
      <c r="B2" t="s">
        <v>61</v>
      </c>
      <c r="C2" t="s">
        <v>62</v>
      </c>
      <c r="D2" t="s">
        <v>63</v>
      </c>
      <c r="E2" t="s">
        <v>64</v>
      </c>
      <c r="G2" t="s">
        <v>64</v>
      </c>
      <c r="H2" s="31">
        <v>45348</v>
      </c>
      <c r="I2" t="s">
        <v>55</v>
      </c>
      <c r="J2" t="s">
        <v>31</v>
      </c>
      <c r="K2" t="s">
        <v>32</v>
      </c>
      <c r="N2" t="s">
        <v>31</v>
      </c>
      <c r="O2" t="s">
        <v>33</v>
      </c>
      <c r="Q2">
        <v>0</v>
      </c>
      <c r="R2" s="31">
        <v>45348</v>
      </c>
      <c r="S2" t="s">
        <v>65</v>
      </c>
      <c r="T2" s="31">
        <v>45348</v>
      </c>
      <c r="U2" t="s">
        <v>66</v>
      </c>
      <c r="V2" t="s">
        <v>67</v>
      </c>
      <c r="W2" t="s">
        <v>68</v>
      </c>
      <c r="X2" t="s">
        <v>69</v>
      </c>
      <c r="Y2" t="s">
        <v>70</v>
      </c>
      <c r="Z2" t="s">
        <v>71</v>
      </c>
      <c r="AA2" t="s">
        <v>72</v>
      </c>
      <c r="AC2" t="s">
        <v>73</v>
      </c>
      <c r="AD2">
        <v>93</v>
      </c>
      <c r="AE2">
        <v>0</v>
      </c>
      <c r="AF2" s="31">
        <v>44593</v>
      </c>
      <c r="AG2">
        <v>400000</v>
      </c>
      <c r="AH2" t="s">
        <v>57</v>
      </c>
      <c r="AI2" t="s">
        <v>74</v>
      </c>
      <c r="AJ2" t="s">
        <v>51</v>
      </c>
      <c r="AK2">
        <f>COUNTIF(Fives[Upgraded By],Fives[[#This Row],[Upgraded By]])</f>
        <v>37</v>
      </c>
      <c r="AL2" t="str">
        <f>IF(Fives[[#This Row],[Split Credit]]="",Fives[[#This Row],[Upgraded By]],IF(ISNUMBER(FIND(Fives[[#This Row],[Upgraded By]],Fives[[#This Row],[Split Credit]])),Fives[[#This Row],[Split Credit]],Fives[[#This Row],[Upgraded By]]&amp;"; "&amp;Fives[[#This Row],[Split Credit]]))</f>
        <v>Ben MacShane</v>
      </c>
    </row>
    <row r="3" spans="1:38" x14ac:dyDescent="0.8">
      <c r="A3" t="s">
        <v>75</v>
      </c>
      <c r="B3" t="s">
        <v>76</v>
      </c>
      <c r="C3" t="s">
        <v>77</v>
      </c>
      <c r="D3" t="s">
        <v>78</v>
      </c>
      <c r="E3" t="s">
        <v>79</v>
      </c>
      <c r="G3" t="s">
        <v>64</v>
      </c>
      <c r="H3" s="31">
        <v>45350</v>
      </c>
      <c r="I3" t="s">
        <v>49</v>
      </c>
      <c r="J3" t="s">
        <v>31</v>
      </c>
      <c r="K3" t="s">
        <v>32</v>
      </c>
      <c r="N3" t="s">
        <v>31</v>
      </c>
      <c r="O3" t="s">
        <v>33</v>
      </c>
      <c r="Q3">
        <v>0</v>
      </c>
      <c r="R3" s="31">
        <v>45350</v>
      </c>
      <c r="S3" t="s">
        <v>80</v>
      </c>
      <c r="T3" s="31">
        <v>45350</v>
      </c>
      <c r="U3" t="s">
        <v>81</v>
      </c>
      <c r="V3" t="s">
        <v>82</v>
      </c>
      <c r="W3" t="s">
        <v>83</v>
      </c>
      <c r="X3" t="s">
        <v>84</v>
      </c>
      <c r="Y3" t="s">
        <v>85</v>
      </c>
      <c r="Z3" t="s">
        <v>86</v>
      </c>
      <c r="AC3" t="s">
        <v>87</v>
      </c>
      <c r="AD3">
        <v>109</v>
      </c>
      <c r="AH3" t="s">
        <v>34</v>
      </c>
      <c r="AI3" t="s">
        <v>88</v>
      </c>
      <c r="AJ3" t="s">
        <v>51</v>
      </c>
      <c r="AK3">
        <f>COUNTIF(Fives[Upgraded By],Fives[[#This Row],[Upgraded By]])</f>
        <v>37</v>
      </c>
      <c r="AL3" t="str">
        <f>IF(Fives[[#This Row],[Split Credit]]="",Fives[[#This Row],[Upgraded By]],IF(ISNUMBER(FIND(Fives[[#This Row],[Upgraded By]],Fives[[#This Row],[Split Credit]])),Fives[[#This Row],[Split Credit]],Fives[[#This Row],[Upgraded By]]&amp;"; "&amp;Fives[[#This Row],[Split Credit]]))</f>
        <v>Ben MacShane</v>
      </c>
    </row>
    <row r="4" spans="1:38" x14ac:dyDescent="0.8">
      <c r="A4" t="s">
        <v>89</v>
      </c>
      <c r="B4" t="s">
        <v>90</v>
      </c>
      <c r="C4" t="s">
        <v>91</v>
      </c>
      <c r="D4" t="s">
        <v>92</v>
      </c>
      <c r="E4" t="s">
        <v>64</v>
      </c>
      <c r="G4" t="s">
        <v>163</v>
      </c>
      <c r="H4" s="31">
        <v>45354</v>
      </c>
      <c r="I4" t="s">
        <v>49</v>
      </c>
      <c r="J4" t="s">
        <v>31</v>
      </c>
      <c r="K4" t="s">
        <v>32</v>
      </c>
      <c r="N4" t="s">
        <v>31</v>
      </c>
      <c r="O4" t="s">
        <v>33</v>
      </c>
      <c r="Q4">
        <v>0</v>
      </c>
      <c r="R4" s="31">
        <v>45352</v>
      </c>
      <c r="S4" t="s">
        <v>93</v>
      </c>
      <c r="T4" s="31">
        <v>45352</v>
      </c>
      <c r="U4" t="s">
        <v>94</v>
      </c>
      <c r="V4" t="s">
        <v>95</v>
      </c>
      <c r="W4" t="s">
        <v>96</v>
      </c>
      <c r="X4" t="s">
        <v>97</v>
      </c>
      <c r="Y4" t="s">
        <v>98</v>
      </c>
      <c r="Z4" t="s">
        <v>56</v>
      </c>
      <c r="AC4" t="s">
        <v>99</v>
      </c>
      <c r="AD4">
        <v>59</v>
      </c>
      <c r="AH4" t="s">
        <v>34</v>
      </c>
      <c r="AI4" t="s">
        <v>100</v>
      </c>
      <c r="AJ4" t="s">
        <v>51</v>
      </c>
      <c r="AK4">
        <f>COUNTIF(Fives[Upgraded By],Fives[[#This Row],[Upgraded By]])</f>
        <v>1</v>
      </c>
      <c r="AL4" t="str">
        <f>IF(Fives[[#This Row],[Split Credit]]="",Fives[[#This Row],[Upgraded By]],IF(ISNUMBER(FIND(Fives[[#This Row],[Upgraded By]],Fives[[#This Row],[Split Credit]])),Fives[[#This Row],[Split Credit]],Fives[[#This Row],[Upgraded By]]&amp;"; "&amp;Fives[[#This Row],[Split Credit]]))</f>
        <v>Classic Crew</v>
      </c>
    </row>
    <row r="5" spans="1:38" x14ac:dyDescent="0.8">
      <c r="A5" t="s">
        <v>101</v>
      </c>
      <c r="B5" t="s">
        <v>102</v>
      </c>
      <c r="C5" t="s">
        <v>103</v>
      </c>
      <c r="D5" t="s">
        <v>104</v>
      </c>
      <c r="E5" t="s">
        <v>64</v>
      </c>
      <c r="G5" t="s">
        <v>64</v>
      </c>
      <c r="H5" s="31">
        <v>45354</v>
      </c>
      <c r="I5" t="s">
        <v>55</v>
      </c>
      <c r="J5" t="s">
        <v>31</v>
      </c>
      <c r="K5" t="s">
        <v>32</v>
      </c>
      <c r="N5" t="s">
        <v>31</v>
      </c>
      <c r="O5" t="s">
        <v>33</v>
      </c>
      <c r="Q5">
        <v>0</v>
      </c>
      <c r="R5" s="31">
        <v>45351</v>
      </c>
      <c r="S5" t="s">
        <v>105</v>
      </c>
      <c r="T5" s="31">
        <v>45351</v>
      </c>
      <c r="U5" t="s">
        <v>59</v>
      </c>
      <c r="V5" t="s">
        <v>106</v>
      </c>
      <c r="W5" t="s">
        <v>107</v>
      </c>
      <c r="X5" t="s">
        <v>108</v>
      </c>
      <c r="Y5" t="s">
        <v>109</v>
      </c>
      <c r="Z5" t="s">
        <v>58</v>
      </c>
      <c r="AC5" t="s">
        <v>110</v>
      </c>
      <c r="AD5">
        <v>104</v>
      </c>
      <c r="AH5" t="s">
        <v>34</v>
      </c>
      <c r="AI5" t="s">
        <v>111</v>
      </c>
      <c r="AJ5" t="s">
        <v>51</v>
      </c>
      <c r="AK5">
        <f>COUNTIF(Fives[Upgraded By],Fives[[#This Row],[Upgraded By]])</f>
        <v>37</v>
      </c>
      <c r="AL5" t="str">
        <f>IF(Fives[[#This Row],[Split Credit]]="",Fives[[#This Row],[Upgraded By]],IF(ISNUMBER(FIND(Fives[[#This Row],[Upgraded By]],Fives[[#This Row],[Split Credit]])),Fives[[#This Row],[Split Credit]],Fives[[#This Row],[Upgraded By]]&amp;"; "&amp;Fives[[#This Row],[Split Credit]]))</f>
        <v>Ben MacShane</v>
      </c>
    </row>
    <row r="6" spans="1:38" x14ac:dyDescent="0.8">
      <c r="A6" t="s">
        <v>60</v>
      </c>
      <c r="B6" t="s">
        <v>61</v>
      </c>
      <c r="C6" t="s">
        <v>62</v>
      </c>
      <c r="D6" t="s">
        <v>114</v>
      </c>
      <c r="E6" s="33" t="s">
        <v>64</v>
      </c>
      <c r="G6" t="s">
        <v>166</v>
      </c>
      <c r="H6" s="34">
        <v>45348</v>
      </c>
      <c r="I6" t="s">
        <v>55</v>
      </c>
      <c r="J6" t="s">
        <v>31</v>
      </c>
      <c r="K6" t="s">
        <v>32</v>
      </c>
      <c r="N6" t="s">
        <v>31</v>
      </c>
      <c r="O6" t="s">
        <v>33</v>
      </c>
      <c r="Q6">
        <v>0</v>
      </c>
      <c r="R6" s="34">
        <v>45348</v>
      </c>
      <c r="S6" t="s">
        <v>65</v>
      </c>
      <c r="T6" s="34">
        <v>45348</v>
      </c>
      <c r="U6" t="s">
        <v>66</v>
      </c>
      <c r="V6" s="35" t="s">
        <v>67</v>
      </c>
      <c r="W6" t="s">
        <v>68</v>
      </c>
      <c r="X6" t="s">
        <v>69</v>
      </c>
      <c r="Y6" t="s">
        <v>70</v>
      </c>
      <c r="Z6" t="s">
        <v>71</v>
      </c>
      <c r="AA6" t="s">
        <v>72</v>
      </c>
      <c r="AC6" t="s">
        <v>73</v>
      </c>
      <c r="AD6">
        <v>93</v>
      </c>
      <c r="AE6">
        <v>0</v>
      </c>
      <c r="AF6" s="34">
        <v>44593</v>
      </c>
      <c r="AG6">
        <v>400000</v>
      </c>
      <c r="AH6" t="s">
        <v>57</v>
      </c>
      <c r="AI6" t="s">
        <v>74</v>
      </c>
      <c r="AJ6" t="s">
        <v>51</v>
      </c>
      <c r="AK6">
        <f>COUNTIF(Fives[Upgraded By],Fives[[#This Row],[Upgraded By]])</f>
        <v>1</v>
      </c>
      <c r="AL6" t="str">
        <f>IF(Fives[[#This Row],[Split Credit]]="",Fives[[#This Row],[Upgraded By]],IF(ISNUMBER(FIND(Fives[[#This Row],[Upgraded By]],Fives[[#This Row],[Split Credit]])),Fives[[#This Row],[Split Credit]],Fives[[#This Row],[Upgraded By]]&amp;"; "&amp;Fives[[#This Row],[Split Credit]]))</f>
        <v>Apples</v>
      </c>
    </row>
    <row r="7" spans="1:38" x14ac:dyDescent="0.8">
      <c r="A7" t="s">
        <v>75</v>
      </c>
      <c r="B7" t="s">
        <v>76</v>
      </c>
      <c r="C7" t="s">
        <v>77</v>
      </c>
      <c r="D7" t="s">
        <v>115</v>
      </c>
      <c r="E7" s="33" t="s">
        <v>79</v>
      </c>
      <c r="G7" t="s">
        <v>167</v>
      </c>
      <c r="H7" s="34">
        <v>45350</v>
      </c>
      <c r="I7" t="s">
        <v>49</v>
      </c>
      <c r="J7" t="s">
        <v>31</v>
      </c>
      <c r="K7" t="s">
        <v>32</v>
      </c>
      <c r="N7" t="s">
        <v>31</v>
      </c>
      <c r="O7" t="s">
        <v>33</v>
      </c>
      <c r="Q7">
        <v>0</v>
      </c>
      <c r="R7" s="34">
        <v>45350</v>
      </c>
      <c r="S7" t="s">
        <v>80</v>
      </c>
      <c r="T7" s="34">
        <v>45350</v>
      </c>
      <c r="U7" t="s">
        <v>81</v>
      </c>
      <c r="V7" s="35" t="s">
        <v>82</v>
      </c>
      <c r="W7" t="s">
        <v>83</v>
      </c>
      <c r="X7" t="s">
        <v>84</v>
      </c>
      <c r="Y7" t="s">
        <v>85</v>
      </c>
      <c r="Z7" t="s">
        <v>86</v>
      </c>
      <c r="AC7" t="s">
        <v>87</v>
      </c>
      <c r="AD7">
        <v>109</v>
      </c>
      <c r="AF7" s="34"/>
      <c r="AH7" t="s">
        <v>34</v>
      </c>
      <c r="AI7" t="s">
        <v>88</v>
      </c>
      <c r="AJ7" t="s">
        <v>51</v>
      </c>
      <c r="AK7">
        <f>COUNTIF(Fives[Upgraded By],Fives[[#This Row],[Upgraded By]])</f>
        <v>1</v>
      </c>
      <c r="AL7" t="str">
        <f>IF(Fives[[#This Row],[Split Credit]]="",Fives[[#This Row],[Upgraded By]],IF(ISNUMBER(FIND(Fives[[#This Row],[Upgraded By]],Fives[[#This Row],[Split Credit]])),Fives[[#This Row],[Split Credit]],Fives[[#This Row],[Upgraded By]]&amp;"; "&amp;Fives[[#This Row],[Split Credit]]))</f>
        <v>Bananas</v>
      </c>
    </row>
    <row r="8" spans="1:38" x14ac:dyDescent="0.8">
      <c r="A8" t="s">
        <v>89</v>
      </c>
      <c r="B8" t="s">
        <v>90</v>
      </c>
      <c r="C8" t="s">
        <v>91</v>
      </c>
      <c r="D8" t="s">
        <v>116</v>
      </c>
      <c r="E8" s="33" t="s">
        <v>64</v>
      </c>
      <c r="G8" t="s">
        <v>64</v>
      </c>
      <c r="H8" s="34">
        <v>45354</v>
      </c>
      <c r="I8" t="s">
        <v>49</v>
      </c>
      <c r="J8" t="s">
        <v>31</v>
      </c>
      <c r="K8" t="s">
        <v>32</v>
      </c>
      <c r="N8" t="s">
        <v>31</v>
      </c>
      <c r="O8" t="s">
        <v>33</v>
      </c>
      <c r="Q8">
        <v>0</v>
      </c>
      <c r="R8" s="34">
        <v>45352</v>
      </c>
      <c r="S8" t="s">
        <v>93</v>
      </c>
      <c r="T8" s="34">
        <v>45352</v>
      </c>
      <c r="U8" t="s">
        <v>94</v>
      </c>
      <c r="V8" s="35" t="s">
        <v>95</v>
      </c>
      <c r="W8" t="s">
        <v>96</v>
      </c>
      <c r="X8" t="s">
        <v>97</v>
      </c>
      <c r="Y8" t="s">
        <v>98</v>
      </c>
      <c r="Z8" t="s">
        <v>56</v>
      </c>
      <c r="AC8" t="s">
        <v>99</v>
      </c>
      <c r="AD8">
        <v>59</v>
      </c>
      <c r="AF8" s="34"/>
      <c r="AH8" t="s">
        <v>34</v>
      </c>
      <c r="AI8" t="s">
        <v>100</v>
      </c>
      <c r="AJ8" t="s">
        <v>51</v>
      </c>
      <c r="AK8">
        <f>COUNTIF(Fives[Upgraded By],Fives[[#This Row],[Upgraded By]])</f>
        <v>37</v>
      </c>
      <c r="AL8" t="str">
        <f>IF(Fives[[#This Row],[Split Credit]]="",Fives[[#This Row],[Upgraded By]],IF(ISNUMBER(FIND(Fives[[#This Row],[Upgraded By]],Fives[[#This Row],[Split Credit]])),Fives[[#This Row],[Split Credit]],Fives[[#This Row],[Upgraded By]]&amp;"; "&amp;Fives[[#This Row],[Split Credit]]))</f>
        <v>Ben MacShane</v>
      </c>
    </row>
    <row r="9" spans="1:38" x14ac:dyDescent="0.8">
      <c r="A9" t="s">
        <v>101</v>
      </c>
      <c r="B9" t="s">
        <v>102</v>
      </c>
      <c r="C9" t="s">
        <v>103</v>
      </c>
      <c r="D9" t="s">
        <v>117</v>
      </c>
      <c r="E9" s="36" t="s">
        <v>64</v>
      </c>
      <c r="G9" t="s">
        <v>64</v>
      </c>
      <c r="H9" s="34">
        <v>45354</v>
      </c>
      <c r="I9" t="s">
        <v>55</v>
      </c>
      <c r="J9" t="s">
        <v>31</v>
      </c>
      <c r="K9" t="s">
        <v>32</v>
      </c>
      <c r="N9" t="s">
        <v>31</v>
      </c>
      <c r="O9" t="s">
        <v>33</v>
      </c>
      <c r="Q9">
        <v>0</v>
      </c>
      <c r="R9" s="34">
        <v>45351</v>
      </c>
      <c r="S9" t="s">
        <v>105</v>
      </c>
      <c r="T9" s="34">
        <v>45351</v>
      </c>
      <c r="U9" t="s">
        <v>59</v>
      </c>
      <c r="V9" s="35" t="s">
        <v>106</v>
      </c>
      <c r="W9" t="s">
        <v>107</v>
      </c>
      <c r="X9" t="s">
        <v>108</v>
      </c>
      <c r="Y9" t="s">
        <v>109</v>
      </c>
      <c r="Z9" t="s">
        <v>58</v>
      </c>
      <c r="AC9" t="s">
        <v>110</v>
      </c>
      <c r="AD9">
        <v>104</v>
      </c>
      <c r="AF9" s="34"/>
      <c r="AH9" t="s">
        <v>34</v>
      </c>
      <c r="AI9" t="s">
        <v>111</v>
      </c>
      <c r="AJ9" t="s">
        <v>51</v>
      </c>
      <c r="AK9">
        <f>COUNTIF(Fives[Upgraded By],Fives[[#This Row],[Upgraded By]])</f>
        <v>37</v>
      </c>
      <c r="AL9" t="str">
        <f>IF(Fives[[#This Row],[Split Credit]]="",Fives[[#This Row],[Upgraded By]],IF(ISNUMBER(FIND(Fives[[#This Row],[Upgraded By]],Fives[[#This Row],[Split Credit]])),Fives[[#This Row],[Split Credit]],Fives[[#This Row],[Upgraded By]]&amp;"; "&amp;Fives[[#This Row],[Split Credit]]))</f>
        <v>Ben MacShane</v>
      </c>
    </row>
    <row r="10" spans="1:38" x14ac:dyDescent="0.8">
      <c r="A10" t="s">
        <v>60</v>
      </c>
      <c r="B10" t="s">
        <v>61</v>
      </c>
      <c r="C10" t="s">
        <v>62</v>
      </c>
      <c r="D10" t="s">
        <v>118</v>
      </c>
      <c r="E10" s="33" t="s">
        <v>64</v>
      </c>
      <c r="G10" t="s">
        <v>164</v>
      </c>
      <c r="H10" s="34">
        <v>45348</v>
      </c>
      <c r="I10" t="s">
        <v>55</v>
      </c>
      <c r="J10" t="s">
        <v>31</v>
      </c>
      <c r="K10" t="s">
        <v>32</v>
      </c>
      <c r="N10" t="s">
        <v>31</v>
      </c>
      <c r="O10" t="s">
        <v>33</v>
      </c>
      <c r="Q10">
        <v>0</v>
      </c>
      <c r="R10" s="34">
        <v>45348</v>
      </c>
      <c r="S10" t="s">
        <v>65</v>
      </c>
      <c r="T10" s="34">
        <v>45348</v>
      </c>
      <c r="U10" t="s">
        <v>66</v>
      </c>
      <c r="V10" s="35" t="s">
        <v>67</v>
      </c>
      <c r="W10" t="s">
        <v>68</v>
      </c>
      <c r="X10" t="s">
        <v>69</v>
      </c>
      <c r="Y10" t="s">
        <v>70</v>
      </c>
      <c r="Z10" t="s">
        <v>71</v>
      </c>
      <c r="AA10" t="s">
        <v>72</v>
      </c>
      <c r="AC10" t="s">
        <v>73</v>
      </c>
      <c r="AD10">
        <v>93</v>
      </c>
      <c r="AE10">
        <v>0</v>
      </c>
      <c r="AF10" s="34">
        <v>44593</v>
      </c>
      <c r="AG10">
        <v>400000</v>
      </c>
      <c r="AH10" t="s">
        <v>57</v>
      </c>
      <c r="AI10" t="s">
        <v>74</v>
      </c>
      <c r="AJ10" t="s">
        <v>51</v>
      </c>
      <c r="AK10">
        <f>COUNTIF(Fives[Upgraded By],Fives[[#This Row],[Upgraded By]])</f>
        <v>1</v>
      </c>
      <c r="AL10" t="str">
        <f>IF(Fives[[#This Row],[Split Credit]]="",Fives[[#This Row],[Upgraded By]],IF(ISNUMBER(FIND(Fives[[#This Row],[Upgraded By]],Fives[[#This Row],[Split Credit]])),Fives[[#This Row],[Split Credit]],Fives[[#This Row],[Upgraded By]]&amp;"; "&amp;Fives[[#This Row],[Split Credit]]))</f>
        <v>Yell Out For Me!</v>
      </c>
    </row>
    <row r="11" spans="1:38" x14ac:dyDescent="0.8">
      <c r="A11" t="s">
        <v>75</v>
      </c>
      <c r="B11" t="s">
        <v>76</v>
      </c>
      <c r="C11" t="s">
        <v>77</v>
      </c>
      <c r="D11" t="s">
        <v>119</v>
      </c>
      <c r="E11" s="33" t="s">
        <v>79</v>
      </c>
      <c r="G11" t="s">
        <v>165</v>
      </c>
      <c r="H11" s="34">
        <v>45350</v>
      </c>
      <c r="I11" t="s">
        <v>49</v>
      </c>
      <c r="J11" t="s">
        <v>31</v>
      </c>
      <c r="K11" t="s">
        <v>32</v>
      </c>
      <c r="N11" t="s">
        <v>31</v>
      </c>
      <c r="O11" t="s">
        <v>33</v>
      </c>
      <c r="Q11">
        <v>0</v>
      </c>
      <c r="R11" s="34">
        <v>45350</v>
      </c>
      <c r="S11" t="s">
        <v>80</v>
      </c>
      <c r="T11" s="34">
        <v>45350</v>
      </c>
      <c r="U11" t="s">
        <v>81</v>
      </c>
      <c r="V11" s="35" t="s">
        <v>82</v>
      </c>
      <c r="W11" t="s">
        <v>83</v>
      </c>
      <c r="X11" t="s">
        <v>84</v>
      </c>
      <c r="Y11" t="s">
        <v>85</v>
      </c>
      <c r="Z11" t="s">
        <v>86</v>
      </c>
      <c r="AC11" t="s">
        <v>87</v>
      </c>
      <c r="AD11">
        <v>109</v>
      </c>
      <c r="AF11" s="34"/>
      <c r="AH11" t="s">
        <v>34</v>
      </c>
      <c r="AI11" t="s">
        <v>88</v>
      </c>
      <c r="AJ11" t="s">
        <v>51</v>
      </c>
      <c r="AK11">
        <f>COUNTIF(Fives[Upgraded By],Fives[[#This Row],[Upgraded By]])</f>
        <v>1</v>
      </c>
      <c r="AL11" t="str">
        <f>IF(Fives[[#This Row],[Split Credit]]="",Fives[[#This Row],[Upgraded By]],IF(ISNUMBER(FIND(Fives[[#This Row],[Upgraded By]],Fives[[#This Row],[Split Credit]])),Fives[[#This Row],[Split Credit]],Fives[[#This Row],[Upgraded By]]&amp;"; "&amp;Fives[[#This Row],[Split Credit]]))</f>
        <v>Blend in Ben</v>
      </c>
    </row>
    <row r="12" spans="1:38" x14ac:dyDescent="0.8">
      <c r="A12" t="s">
        <v>89</v>
      </c>
      <c r="B12" t="s">
        <v>90</v>
      </c>
      <c r="C12" t="s">
        <v>91</v>
      </c>
      <c r="D12" t="s">
        <v>120</v>
      </c>
      <c r="E12" s="33" t="s">
        <v>64</v>
      </c>
      <c r="G12" t="s">
        <v>64</v>
      </c>
      <c r="H12" s="34">
        <v>45354</v>
      </c>
      <c r="I12" t="s">
        <v>49</v>
      </c>
      <c r="J12" t="s">
        <v>31</v>
      </c>
      <c r="K12" t="s">
        <v>32</v>
      </c>
      <c r="N12" t="s">
        <v>31</v>
      </c>
      <c r="O12" t="s">
        <v>33</v>
      </c>
      <c r="Q12">
        <v>0</v>
      </c>
      <c r="R12" s="34">
        <v>45352</v>
      </c>
      <c r="S12" t="s">
        <v>93</v>
      </c>
      <c r="T12" s="34">
        <v>45352</v>
      </c>
      <c r="U12" t="s">
        <v>94</v>
      </c>
      <c r="V12" s="35" t="s">
        <v>95</v>
      </c>
      <c r="W12" t="s">
        <v>96</v>
      </c>
      <c r="X12" t="s">
        <v>97</v>
      </c>
      <c r="Y12" t="s">
        <v>98</v>
      </c>
      <c r="Z12" t="s">
        <v>56</v>
      </c>
      <c r="AC12" t="s">
        <v>99</v>
      </c>
      <c r="AD12">
        <v>59</v>
      </c>
      <c r="AF12" s="34"/>
      <c r="AH12" t="s">
        <v>34</v>
      </c>
      <c r="AI12" t="s">
        <v>100</v>
      </c>
      <c r="AJ12" t="s">
        <v>51</v>
      </c>
      <c r="AK12">
        <f>COUNTIF(Fives[Upgraded By],Fives[[#This Row],[Upgraded By]])</f>
        <v>37</v>
      </c>
      <c r="AL12" t="str">
        <f>IF(Fives[[#This Row],[Split Credit]]="",Fives[[#This Row],[Upgraded By]],IF(ISNUMBER(FIND(Fives[[#This Row],[Upgraded By]],Fives[[#This Row],[Split Credit]])),Fives[[#This Row],[Split Credit]],Fives[[#This Row],[Upgraded By]]&amp;"; "&amp;Fives[[#This Row],[Split Credit]]))</f>
        <v>Ben MacShane</v>
      </c>
    </row>
    <row r="13" spans="1:38" x14ac:dyDescent="0.8">
      <c r="A13" t="s">
        <v>101</v>
      </c>
      <c r="B13" t="s">
        <v>102</v>
      </c>
      <c r="C13" t="s">
        <v>103</v>
      </c>
      <c r="D13" t="s">
        <v>121</v>
      </c>
      <c r="E13" s="36" t="s">
        <v>64</v>
      </c>
      <c r="G13" t="s">
        <v>64</v>
      </c>
      <c r="H13" s="34">
        <v>45354</v>
      </c>
      <c r="I13" t="s">
        <v>55</v>
      </c>
      <c r="J13" t="s">
        <v>31</v>
      </c>
      <c r="K13" t="s">
        <v>32</v>
      </c>
      <c r="N13" t="s">
        <v>31</v>
      </c>
      <c r="O13" t="s">
        <v>33</v>
      </c>
      <c r="Q13">
        <v>0</v>
      </c>
      <c r="R13" s="34">
        <v>45351</v>
      </c>
      <c r="S13" t="s">
        <v>105</v>
      </c>
      <c r="T13" s="34">
        <v>45351</v>
      </c>
      <c r="U13" t="s">
        <v>59</v>
      </c>
      <c r="V13" s="35" t="s">
        <v>106</v>
      </c>
      <c r="W13" t="s">
        <v>107</v>
      </c>
      <c r="X13" t="s">
        <v>108</v>
      </c>
      <c r="Y13" t="s">
        <v>109</v>
      </c>
      <c r="Z13" t="s">
        <v>58</v>
      </c>
      <c r="AC13" t="s">
        <v>110</v>
      </c>
      <c r="AD13">
        <v>104</v>
      </c>
      <c r="AF13" s="34"/>
      <c r="AH13" t="s">
        <v>34</v>
      </c>
      <c r="AI13" t="s">
        <v>111</v>
      </c>
      <c r="AJ13" t="s">
        <v>51</v>
      </c>
      <c r="AK13">
        <f>COUNTIF(Fives[Upgraded By],Fives[[#This Row],[Upgraded By]])</f>
        <v>37</v>
      </c>
      <c r="AL13" t="str">
        <f>IF(Fives[[#This Row],[Split Credit]]="",Fives[[#This Row],[Upgraded By]],IF(ISNUMBER(FIND(Fives[[#This Row],[Upgraded By]],Fives[[#This Row],[Split Credit]])),Fives[[#This Row],[Split Credit]],Fives[[#This Row],[Upgraded By]]&amp;"; "&amp;Fives[[#This Row],[Split Credit]]))</f>
        <v>Ben MacShane</v>
      </c>
    </row>
    <row r="14" spans="1:38" x14ac:dyDescent="0.8">
      <c r="A14" t="s">
        <v>60</v>
      </c>
      <c r="B14" t="s">
        <v>61</v>
      </c>
      <c r="C14" t="s">
        <v>62</v>
      </c>
      <c r="D14" t="s">
        <v>122</v>
      </c>
      <c r="E14" s="33" t="s">
        <v>64</v>
      </c>
      <c r="G14" t="s">
        <v>168</v>
      </c>
      <c r="H14" s="34">
        <v>45348</v>
      </c>
      <c r="I14" t="s">
        <v>55</v>
      </c>
      <c r="J14" t="s">
        <v>31</v>
      </c>
      <c r="K14" t="s">
        <v>32</v>
      </c>
      <c r="N14" t="s">
        <v>31</v>
      </c>
      <c r="O14" t="s">
        <v>33</v>
      </c>
      <c r="Q14">
        <v>0</v>
      </c>
      <c r="R14" s="34">
        <v>45348</v>
      </c>
      <c r="S14" t="s">
        <v>65</v>
      </c>
      <c r="T14" s="34">
        <v>45348</v>
      </c>
      <c r="U14" t="s">
        <v>66</v>
      </c>
      <c r="V14" s="35" t="s">
        <v>67</v>
      </c>
      <c r="W14" t="s">
        <v>68</v>
      </c>
      <c r="X14" t="s">
        <v>69</v>
      </c>
      <c r="Y14" t="s">
        <v>70</v>
      </c>
      <c r="Z14" t="s">
        <v>71</v>
      </c>
      <c r="AA14" t="s">
        <v>72</v>
      </c>
      <c r="AC14" t="s">
        <v>73</v>
      </c>
      <c r="AD14">
        <v>93</v>
      </c>
      <c r="AE14">
        <v>0</v>
      </c>
      <c r="AF14" s="34">
        <v>44593</v>
      </c>
      <c r="AG14">
        <v>400000</v>
      </c>
      <c r="AH14" t="s">
        <v>57</v>
      </c>
      <c r="AI14" t="s">
        <v>74</v>
      </c>
      <c r="AJ14" t="s">
        <v>51</v>
      </c>
      <c r="AK14">
        <f>COUNTIF(Fives[Upgraded By],Fives[[#This Row],[Upgraded By]])</f>
        <v>1</v>
      </c>
      <c r="AL14" t="str">
        <f>IF(Fives[[#This Row],[Split Credit]]="",Fives[[#This Row],[Upgraded By]],IF(ISNUMBER(FIND(Fives[[#This Row],[Upgraded By]],Fives[[#This Row],[Split Credit]])),Fives[[#This Row],[Split Credit]],Fives[[#This Row],[Upgraded By]]&amp;"; "&amp;Fives[[#This Row],[Split Credit]]))</f>
        <v>Rhinoceros Rex</v>
      </c>
    </row>
    <row r="15" spans="1:38" x14ac:dyDescent="0.8">
      <c r="A15" t="s">
        <v>75</v>
      </c>
      <c r="B15" t="s">
        <v>76</v>
      </c>
      <c r="C15" t="s">
        <v>77</v>
      </c>
      <c r="D15" t="s">
        <v>124</v>
      </c>
      <c r="E15" s="33" t="s">
        <v>79</v>
      </c>
      <c r="G15" t="s">
        <v>161</v>
      </c>
      <c r="H15" s="34">
        <v>45350</v>
      </c>
      <c r="I15" t="s">
        <v>49</v>
      </c>
      <c r="J15" t="s">
        <v>31</v>
      </c>
      <c r="K15" t="s">
        <v>32</v>
      </c>
      <c r="N15" t="s">
        <v>31</v>
      </c>
      <c r="O15" t="s">
        <v>33</v>
      </c>
      <c r="Q15">
        <v>0</v>
      </c>
      <c r="R15" s="34">
        <v>45350</v>
      </c>
      <c r="S15" t="s">
        <v>80</v>
      </c>
      <c r="T15" s="34">
        <v>45350</v>
      </c>
      <c r="U15" t="s">
        <v>81</v>
      </c>
      <c r="V15" s="35" t="s">
        <v>82</v>
      </c>
      <c r="W15" t="s">
        <v>83</v>
      </c>
      <c r="X15" t="s">
        <v>84</v>
      </c>
      <c r="Y15" t="s">
        <v>85</v>
      </c>
      <c r="Z15" t="s">
        <v>86</v>
      </c>
      <c r="AC15" t="s">
        <v>87</v>
      </c>
      <c r="AD15">
        <v>109</v>
      </c>
      <c r="AF15" s="34"/>
      <c r="AH15" t="s">
        <v>34</v>
      </c>
      <c r="AI15" t="s">
        <v>88</v>
      </c>
      <c r="AJ15" t="s">
        <v>51</v>
      </c>
      <c r="AK15">
        <f>COUNTIF(Fives[Upgraded By],Fives[[#This Row],[Upgraded By]])</f>
        <v>1</v>
      </c>
      <c r="AL15" t="str">
        <f>IF(Fives[[#This Row],[Split Credit]]="",Fives[[#This Row],[Upgraded By]],IF(ISNUMBER(FIND(Fives[[#This Row],[Upgraded By]],Fives[[#This Row],[Split Credit]])),Fives[[#This Row],[Split Credit]],Fives[[#This Row],[Upgraded By]]&amp;"; "&amp;Fives[[#This Row],[Split Credit]]))</f>
        <v>Lemon Levowitz</v>
      </c>
    </row>
    <row r="16" spans="1:38" x14ac:dyDescent="0.8">
      <c r="A16" t="s">
        <v>89</v>
      </c>
      <c r="B16" t="s">
        <v>90</v>
      </c>
      <c r="C16" t="s">
        <v>91</v>
      </c>
      <c r="D16" t="s">
        <v>125</v>
      </c>
      <c r="E16" s="33" t="s">
        <v>64</v>
      </c>
      <c r="G16" t="s">
        <v>64</v>
      </c>
      <c r="H16" s="34">
        <v>45354</v>
      </c>
      <c r="I16" t="s">
        <v>49</v>
      </c>
      <c r="J16" t="s">
        <v>31</v>
      </c>
      <c r="K16" t="s">
        <v>32</v>
      </c>
      <c r="N16" t="s">
        <v>31</v>
      </c>
      <c r="O16" t="s">
        <v>33</v>
      </c>
      <c r="Q16">
        <v>0</v>
      </c>
      <c r="R16" s="34">
        <v>45352</v>
      </c>
      <c r="S16" t="s">
        <v>93</v>
      </c>
      <c r="T16" s="34">
        <v>45352</v>
      </c>
      <c r="U16" t="s">
        <v>94</v>
      </c>
      <c r="V16" s="35" t="s">
        <v>95</v>
      </c>
      <c r="W16" t="s">
        <v>96</v>
      </c>
      <c r="X16" t="s">
        <v>97</v>
      </c>
      <c r="Y16" t="s">
        <v>98</v>
      </c>
      <c r="Z16" t="s">
        <v>56</v>
      </c>
      <c r="AC16" t="s">
        <v>99</v>
      </c>
      <c r="AD16">
        <v>59</v>
      </c>
      <c r="AF16" s="34"/>
      <c r="AH16" t="s">
        <v>34</v>
      </c>
      <c r="AI16" t="s">
        <v>100</v>
      </c>
      <c r="AJ16" t="s">
        <v>51</v>
      </c>
      <c r="AK16">
        <f>COUNTIF(Fives[Upgraded By],Fives[[#This Row],[Upgraded By]])</f>
        <v>37</v>
      </c>
      <c r="AL16" t="str">
        <f>IF(Fives[[#This Row],[Split Credit]]="",Fives[[#This Row],[Upgraded By]],IF(ISNUMBER(FIND(Fives[[#This Row],[Upgraded By]],Fives[[#This Row],[Split Credit]])),Fives[[#This Row],[Split Credit]],Fives[[#This Row],[Upgraded By]]&amp;"; "&amp;Fives[[#This Row],[Split Credit]]))</f>
        <v>Ben MacShane</v>
      </c>
    </row>
    <row r="17" spans="1:38" x14ac:dyDescent="0.8">
      <c r="A17" t="s">
        <v>101</v>
      </c>
      <c r="B17" t="s">
        <v>102</v>
      </c>
      <c r="C17" t="s">
        <v>103</v>
      </c>
      <c r="D17" t="s">
        <v>126</v>
      </c>
      <c r="E17" s="36" t="s">
        <v>64</v>
      </c>
      <c r="G17" t="s">
        <v>64</v>
      </c>
      <c r="H17" s="34">
        <v>45354</v>
      </c>
      <c r="I17" t="s">
        <v>55</v>
      </c>
      <c r="J17" t="s">
        <v>31</v>
      </c>
      <c r="K17" t="s">
        <v>32</v>
      </c>
      <c r="N17" t="s">
        <v>31</v>
      </c>
      <c r="O17" t="s">
        <v>33</v>
      </c>
      <c r="Q17">
        <v>0</v>
      </c>
      <c r="R17" s="34">
        <v>45351</v>
      </c>
      <c r="S17" t="s">
        <v>105</v>
      </c>
      <c r="T17" s="34">
        <v>45351</v>
      </c>
      <c r="U17" t="s">
        <v>59</v>
      </c>
      <c r="V17" s="35" t="s">
        <v>106</v>
      </c>
      <c r="W17" t="s">
        <v>107</v>
      </c>
      <c r="X17" t="s">
        <v>108</v>
      </c>
      <c r="Y17" t="s">
        <v>109</v>
      </c>
      <c r="Z17" t="s">
        <v>58</v>
      </c>
      <c r="AC17" t="s">
        <v>110</v>
      </c>
      <c r="AD17">
        <v>104</v>
      </c>
      <c r="AF17" s="34"/>
      <c r="AH17" t="s">
        <v>34</v>
      </c>
      <c r="AI17" t="s">
        <v>111</v>
      </c>
      <c r="AJ17" t="s">
        <v>51</v>
      </c>
      <c r="AK17">
        <f>COUNTIF(Fives[Upgraded By],Fives[[#This Row],[Upgraded By]])</f>
        <v>37</v>
      </c>
      <c r="AL17" t="str">
        <f>IF(Fives[[#This Row],[Split Credit]]="",Fives[[#This Row],[Upgraded By]],IF(ISNUMBER(FIND(Fives[[#This Row],[Upgraded By]],Fives[[#This Row],[Split Credit]])),Fives[[#This Row],[Split Credit]],Fives[[#This Row],[Upgraded By]]&amp;"; "&amp;Fives[[#This Row],[Split Credit]]))</f>
        <v>Ben MacShane</v>
      </c>
    </row>
    <row r="18" spans="1:38" x14ac:dyDescent="0.8">
      <c r="A18" t="s">
        <v>60</v>
      </c>
      <c r="B18" t="s">
        <v>61</v>
      </c>
      <c r="C18" t="s">
        <v>62</v>
      </c>
      <c r="D18" t="s">
        <v>127</v>
      </c>
      <c r="E18" s="33" t="s">
        <v>64</v>
      </c>
      <c r="G18" t="s">
        <v>64</v>
      </c>
      <c r="H18" s="34">
        <v>45348</v>
      </c>
      <c r="I18" t="s">
        <v>55</v>
      </c>
      <c r="J18" t="s">
        <v>31</v>
      </c>
      <c r="K18" t="s">
        <v>32</v>
      </c>
      <c r="N18" t="s">
        <v>31</v>
      </c>
      <c r="O18" t="s">
        <v>33</v>
      </c>
      <c r="Q18">
        <v>0</v>
      </c>
      <c r="R18" s="34">
        <v>45348</v>
      </c>
      <c r="S18" t="s">
        <v>65</v>
      </c>
      <c r="T18" s="34">
        <v>45348</v>
      </c>
      <c r="U18" t="s">
        <v>66</v>
      </c>
      <c r="V18" s="35" t="s">
        <v>67</v>
      </c>
      <c r="W18" t="s">
        <v>68</v>
      </c>
      <c r="X18" t="s">
        <v>69</v>
      </c>
      <c r="Y18" t="s">
        <v>70</v>
      </c>
      <c r="Z18" t="s">
        <v>71</v>
      </c>
      <c r="AA18" t="s">
        <v>72</v>
      </c>
      <c r="AC18" t="s">
        <v>73</v>
      </c>
      <c r="AD18">
        <v>93</v>
      </c>
      <c r="AE18">
        <v>0</v>
      </c>
      <c r="AF18" s="34">
        <v>44593</v>
      </c>
      <c r="AG18">
        <v>400000</v>
      </c>
      <c r="AH18" t="s">
        <v>57</v>
      </c>
      <c r="AI18" t="s">
        <v>74</v>
      </c>
      <c r="AJ18" t="s">
        <v>51</v>
      </c>
      <c r="AK18">
        <f>COUNTIF(Fives[Upgraded By],Fives[[#This Row],[Upgraded By]])</f>
        <v>37</v>
      </c>
      <c r="AL18" t="str">
        <f>IF(Fives[[#This Row],[Split Credit]]="",Fives[[#This Row],[Upgraded By]],IF(ISNUMBER(FIND(Fives[[#This Row],[Upgraded By]],Fives[[#This Row],[Split Credit]])),Fives[[#This Row],[Split Credit]],Fives[[#This Row],[Upgraded By]]&amp;"; "&amp;Fives[[#This Row],[Split Credit]]))</f>
        <v>Ben MacShane</v>
      </c>
    </row>
    <row r="19" spans="1:38" x14ac:dyDescent="0.8">
      <c r="A19" t="s">
        <v>75</v>
      </c>
      <c r="B19" t="s">
        <v>76</v>
      </c>
      <c r="C19" t="s">
        <v>77</v>
      </c>
      <c r="D19" t="s">
        <v>123</v>
      </c>
      <c r="E19" s="33" t="s">
        <v>79</v>
      </c>
      <c r="G19" t="s">
        <v>160</v>
      </c>
      <c r="H19" s="34">
        <v>45350</v>
      </c>
      <c r="I19" t="s">
        <v>49</v>
      </c>
      <c r="J19" t="s">
        <v>31</v>
      </c>
      <c r="K19" t="s">
        <v>32</v>
      </c>
      <c r="N19" t="s">
        <v>31</v>
      </c>
      <c r="O19" t="s">
        <v>33</v>
      </c>
      <c r="Q19">
        <v>0</v>
      </c>
      <c r="R19" s="34">
        <v>45350</v>
      </c>
      <c r="S19" t="s">
        <v>80</v>
      </c>
      <c r="T19" s="34">
        <v>45350</v>
      </c>
      <c r="U19" t="s">
        <v>81</v>
      </c>
      <c r="V19" s="35" t="s">
        <v>82</v>
      </c>
      <c r="W19" t="s">
        <v>83</v>
      </c>
      <c r="X19" t="s">
        <v>84</v>
      </c>
      <c r="Y19" t="s">
        <v>85</v>
      </c>
      <c r="Z19" t="s">
        <v>86</v>
      </c>
      <c r="AC19" t="s">
        <v>87</v>
      </c>
      <c r="AD19">
        <v>109</v>
      </c>
      <c r="AF19" s="34"/>
      <c r="AH19" t="s">
        <v>34</v>
      </c>
      <c r="AI19" t="s">
        <v>88</v>
      </c>
      <c r="AJ19" t="s">
        <v>51</v>
      </c>
      <c r="AK19">
        <f>COUNTIF(Fives[Upgraded By],Fives[[#This Row],[Upgraded By]])</f>
        <v>1</v>
      </c>
      <c r="AL19" t="str">
        <f>IF(Fives[[#This Row],[Split Credit]]="",Fives[[#This Row],[Upgraded By]],IF(ISNUMBER(FIND(Fives[[#This Row],[Upgraded By]],Fives[[#This Row],[Split Credit]])),Fives[[#This Row],[Split Credit]],Fives[[#This Row],[Upgraded By]]&amp;"; "&amp;Fives[[#This Row],[Split Credit]]))</f>
        <v>Mike</v>
      </c>
    </row>
    <row r="20" spans="1:38" x14ac:dyDescent="0.8">
      <c r="A20" t="s">
        <v>89</v>
      </c>
      <c r="B20" t="s">
        <v>90</v>
      </c>
      <c r="C20" t="s">
        <v>91</v>
      </c>
      <c r="D20" t="s">
        <v>128</v>
      </c>
      <c r="E20" s="33" t="s">
        <v>64</v>
      </c>
      <c r="G20" t="s">
        <v>64</v>
      </c>
      <c r="H20" s="34">
        <v>45354</v>
      </c>
      <c r="I20" t="s">
        <v>49</v>
      </c>
      <c r="J20" t="s">
        <v>31</v>
      </c>
      <c r="K20" t="s">
        <v>32</v>
      </c>
      <c r="N20" t="s">
        <v>31</v>
      </c>
      <c r="O20" t="s">
        <v>33</v>
      </c>
      <c r="Q20">
        <v>0</v>
      </c>
      <c r="R20" s="34">
        <v>45352</v>
      </c>
      <c r="S20" t="s">
        <v>93</v>
      </c>
      <c r="T20" s="34">
        <v>45352</v>
      </c>
      <c r="U20" t="s">
        <v>94</v>
      </c>
      <c r="V20" s="35" t="s">
        <v>95</v>
      </c>
      <c r="W20" t="s">
        <v>96</v>
      </c>
      <c r="X20" t="s">
        <v>97</v>
      </c>
      <c r="Y20" t="s">
        <v>98</v>
      </c>
      <c r="Z20" t="s">
        <v>56</v>
      </c>
      <c r="AC20" t="s">
        <v>99</v>
      </c>
      <c r="AD20">
        <v>59</v>
      </c>
      <c r="AF20" s="34"/>
      <c r="AH20" t="s">
        <v>34</v>
      </c>
      <c r="AI20" t="s">
        <v>100</v>
      </c>
      <c r="AJ20" t="s">
        <v>51</v>
      </c>
      <c r="AK20">
        <f>COUNTIF(Fives[Upgraded By],Fives[[#This Row],[Upgraded By]])</f>
        <v>37</v>
      </c>
      <c r="AL20" t="str">
        <f>IF(Fives[[#This Row],[Split Credit]]="",Fives[[#This Row],[Upgraded By]],IF(ISNUMBER(FIND(Fives[[#This Row],[Upgraded By]],Fives[[#This Row],[Split Credit]])),Fives[[#This Row],[Split Credit]],Fives[[#This Row],[Upgraded By]]&amp;"; "&amp;Fives[[#This Row],[Split Credit]]))</f>
        <v>Ben MacShane</v>
      </c>
    </row>
    <row r="21" spans="1:38" x14ac:dyDescent="0.8">
      <c r="A21" t="s">
        <v>101</v>
      </c>
      <c r="B21" t="s">
        <v>102</v>
      </c>
      <c r="C21" t="s">
        <v>103</v>
      </c>
      <c r="D21" t="s">
        <v>129</v>
      </c>
      <c r="E21" s="36" t="s">
        <v>64</v>
      </c>
      <c r="G21" t="s">
        <v>64</v>
      </c>
      <c r="H21" s="34">
        <v>45354</v>
      </c>
      <c r="I21" t="s">
        <v>55</v>
      </c>
      <c r="J21" t="s">
        <v>31</v>
      </c>
      <c r="K21" t="s">
        <v>32</v>
      </c>
      <c r="N21" t="s">
        <v>31</v>
      </c>
      <c r="O21" t="s">
        <v>33</v>
      </c>
      <c r="Q21">
        <v>0</v>
      </c>
      <c r="R21" s="34">
        <v>45351</v>
      </c>
      <c r="S21" t="s">
        <v>105</v>
      </c>
      <c r="T21" s="34">
        <v>45351</v>
      </c>
      <c r="U21" t="s">
        <v>59</v>
      </c>
      <c r="V21" s="35" t="s">
        <v>106</v>
      </c>
      <c r="W21" t="s">
        <v>107</v>
      </c>
      <c r="X21" t="s">
        <v>108</v>
      </c>
      <c r="Y21" t="s">
        <v>109</v>
      </c>
      <c r="Z21" t="s">
        <v>58</v>
      </c>
      <c r="AC21" t="s">
        <v>110</v>
      </c>
      <c r="AD21">
        <v>104</v>
      </c>
      <c r="AF21" s="34"/>
      <c r="AH21" t="s">
        <v>34</v>
      </c>
      <c r="AI21" t="s">
        <v>111</v>
      </c>
      <c r="AJ21" t="s">
        <v>51</v>
      </c>
      <c r="AK21">
        <f>COUNTIF(Fives[Upgraded By],Fives[[#This Row],[Upgraded By]])</f>
        <v>37</v>
      </c>
      <c r="AL21" t="str">
        <f>IF(Fives[[#This Row],[Split Credit]]="",Fives[[#This Row],[Upgraded By]],IF(ISNUMBER(FIND(Fives[[#This Row],[Upgraded By]],Fives[[#This Row],[Split Credit]])),Fives[[#This Row],[Split Credit]],Fives[[#This Row],[Upgraded By]]&amp;"; "&amp;Fives[[#This Row],[Split Credit]]))</f>
        <v>Ben MacShane</v>
      </c>
    </row>
    <row r="22" spans="1:38" x14ac:dyDescent="0.8">
      <c r="A22" t="s">
        <v>60</v>
      </c>
      <c r="B22" t="s">
        <v>61</v>
      </c>
      <c r="C22" t="s">
        <v>62</v>
      </c>
      <c r="D22" t="s">
        <v>130</v>
      </c>
      <c r="E22" s="33" t="s">
        <v>64</v>
      </c>
      <c r="G22" t="s">
        <v>64</v>
      </c>
      <c r="H22" s="34">
        <v>45348</v>
      </c>
      <c r="I22" t="s">
        <v>55</v>
      </c>
      <c r="J22" t="s">
        <v>31</v>
      </c>
      <c r="K22" t="s">
        <v>32</v>
      </c>
      <c r="N22" t="s">
        <v>31</v>
      </c>
      <c r="O22" t="s">
        <v>33</v>
      </c>
      <c r="Q22">
        <v>0</v>
      </c>
      <c r="R22" s="34">
        <v>45348</v>
      </c>
      <c r="S22" t="s">
        <v>65</v>
      </c>
      <c r="T22" s="34">
        <v>45348</v>
      </c>
      <c r="U22" t="s">
        <v>66</v>
      </c>
      <c r="V22" s="35" t="s">
        <v>67</v>
      </c>
      <c r="W22" t="s">
        <v>68</v>
      </c>
      <c r="X22" t="s">
        <v>69</v>
      </c>
      <c r="Y22" t="s">
        <v>70</v>
      </c>
      <c r="Z22" t="s">
        <v>71</v>
      </c>
      <c r="AA22" t="s">
        <v>72</v>
      </c>
      <c r="AC22" t="s">
        <v>73</v>
      </c>
      <c r="AD22">
        <v>93</v>
      </c>
      <c r="AE22">
        <v>0</v>
      </c>
      <c r="AF22" s="34">
        <v>44593</v>
      </c>
      <c r="AG22">
        <v>400000</v>
      </c>
      <c r="AH22" t="s">
        <v>57</v>
      </c>
      <c r="AI22" t="s">
        <v>74</v>
      </c>
      <c r="AJ22" t="s">
        <v>51</v>
      </c>
      <c r="AK22">
        <f>COUNTIF(Fives[Upgraded By],Fives[[#This Row],[Upgraded By]])</f>
        <v>37</v>
      </c>
      <c r="AL22" t="str">
        <f>IF(Fives[[#This Row],[Split Credit]]="",Fives[[#This Row],[Upgraded By]],IF(ISNUMBER(FIND(Fives[[#This Row],[Upgraded By]],Fives[[#This Row],[Split Credit]])),Fives[[#This Row],[Split Credit]],Fives[[#This Row],[Upgraded By]]&amp;"; "&amp;Fives[[#This Row],[Split Credit]]))</f>
        <v>Ben MacShane</v>
      </c>
    </row>
    <row r="23" spans="1:38" x14ac:dyDescent="0.8">
      <c r="A23" t="s">
        <v>75</v>
      </c>
      <c r="B23" t="s">
        <v>76</v>
      </c>
      <c r="C23" t="s">
        <v>77</v>
      </c>
      <c r="D23" t="s">
        <v>131</v>
      </c>
      <c r="E23" s="33" t="s">
        <v>79</v>
      </c>
      <c r="G23" t="s">
        <v>64</v>
      </c>
      <c r="H23" s="34">
        <v>45350</v>
      </c>
      <c r="I23" t="s">
        <v>49</v>
      </c>
      <c r="J23" t="s">
        <v>31</v>
      </c>
      <c r="K23" t="s">
        <v>32</v>
      </c>
      <c r="N23" t="s">
        <v>31</v>
      </c>
      <c r="O23" t="s">
        <v>33</v>
      </c>
      <c r="Q23">
        <v>0</v>
      </c>
      <c r="R23" s="34">
        <v>45350</v>
      </c>
      <c r="S23" t="s">
        <v>80</v>
      </c>
      <c r="T23" s="34">
        <v>45350</v>
      </c>
      <c r="U23" t="s">
        <v>81</v>
      </c>
      <c r="V23" s="35" t="s">
        <v>82</v>
      </c>
      <c r="W23" t="s">
        <v>83</v>
      </c>
      <c r="X23" t="s">
        <v>84</v>
      </c>
      <c r="Y23" t="s">
        <v>85</v>
      </c>
      <c r="Z23" t="s">
        <v>86</v>
      </c>
      <c r="AC23" t="s">
        <v>87</v>
      </c>
      <c r="AD23">
        <v>109</v>
      </c>
      <c r="AF23" s="34"/>
      <c r="AH23" t="s">
        <v>34</v>
      </c>
      <c r="AI23" t="s">
        <v>88</v>
      </c>
      <c r="AJ23" t="s">
        <v>51</v>
      </c>
      <c r="AK23">
        <f>COUNTIF(Fives[Upgraded By],Fives[[#This Row],[Upgraded By]])</f>
        <v>37</v>
      </c>
      <c r="AL23" t="str">
        <f>IF(Fives[[#This Row],[Split Credit]]="",Fives[[#This Row],[Upgraded By]],IF(ISNUMBER(FIND(Fives[[#This Row],[Upgraded By]],Fives[[#This Row],[Split Credit]])),Fives[[#This Row],[Split Credit]],Fives[[#This Row],[Upgraded By]]&amp;"; "&amp;Fives[[#This Row],[Split Credit]]))</f>
        <v>Ben MacShane</v>
      </c>
    </row>
    <row r="24" spans="1:38" x14ac:dyDescent="0.8">
      <c r="A24" t="s">
        <v>89</v>
      </c>
      <c r="B24" t="s">
        <v>90</v>
      </c>
      <c r="C24" t="s">
        <v>91</v>
      </c>
      <c r="D24" t="s">
        <v>132</v>
      </c>
      <c r="E24" s="33" t="s">
        <v>64</v>
      </c>
      <c r="G24" t="s">
        <v>64</v>
      </c>
      <c r="H24" s="34">
        <v>45354</v>
      </c>
      <c r="I24" t="s">
        <v>49</v>
      </c>
      <c r="J24" t="s">
        <v>31</v>
      </c>
      <c r="K24" t="s">
        <v>32</v>
      </c>
      <c r="N24" t="s">
        <v>31</v>
      </c>
      <c r="O24" t="s">
        <v>33</v>
      </c>
      <c r="Q24">
        <v>0</v>
      </c>
      <c r="R24" s="34">
        <v>45352</v>
      </c>
      <c r="S24" t="s">
        <v>93</v>
      </c>
      <c r="T24" s="34">
        <v>45352</v>
      </c>
      <c r="U24" t="s">
        <v>94</v>
      </c>
      <c r="V24" s="35" t="s">
        <v>95</v>
      </c>
      <c r="W24" t="s">
        <v>96</v>
      </c>
      <c r="X24" t="s">
        <v>97</v>
      </c>
      <c r="Y24" t="s">
        <v>98</v>
      </c>
      <c r="Z24" t="s">
        <v>56</v>
      </c>
      <c r="AC24" t="s">
        <v>99</v>
      </c>
      <c r="AD24">
        <v>59</v>
      </c>
      <c r="AF24" s="34"/>
      <c r="AH24" t="s">
        <v>34</v>
      </c>
      <c r="AI24" t="s">
        <v>100</v>
      </c>
      <c r="AJ24" t="s">
        <v>51</v>
      </c>
      <c r="AK24">
        <f>COUNTIF(Fives[Upgraded By],Fives[[#This Row],[Upgraded By]])</f>
        <v>37</v>
      </c>
      <c r="AL24" t="str">
        <f>IF(Fives[[#This Row],[Split Credit]]="",Fives[[#This Row],[Upgraded By]],IF(ISNUMBER(FIND(Fives[[#This Row],[Upgraded By]],Fives[[#This Row],[Split Credit]])),Fives[[#This Row],[Split Credit]],Fives[[#This Row],[Upgraded By]]&amp;"; "&amp;Fives[[#This Row],[Split Credit]]))</f>
        <v>Ben MacShane</v>
      </c>
    </row>
    <row r="25" spans="1:38" x14ac:dyDescent="0.8">
      <c r="A25" t="s">
        <v>101</v>
      </c>
      <c r="B25" t="s">
        <v>102</v>
      </c>
      <c r="C25" t="s">
        <v>103</v>
      </c>
      <c r="D25" t="s">
        <v>133</v>
      </c>
      <c r="E25" s="36" t="s">
        <v>64</v>
      </c>
      <c r="G25" t="s">
        <v>162</v>
      </c>
      <c r="H25" s="34">
        <v>45354</v>
      </c>
      <c r="I25" t="s">
        <v>55</v>
      </c>
      <c r="J25" t="s">
        <v>31</v>
      </c>
      <c r="K25" t="s">
        <v>32</v>
      </c>
      <c r="N25" t="s">
        <v>31</v>
      </c>
      <c r="O25" t="s">
        <v>33</v>
      </c>
      <c r="Q25">
        <v>0</v>
      </c>
      <c r="R25" s="34">
        <v>45351</v>
      </c>
      <c r="S25" t="s">
        <v>105</v>
      </c>
      <c r="T25" s="34">
        <v>45351</v>
      </c>
      <c r="U25" t="s">
        <v>59</v>
      </c>
      <c r="V25" s="35" t="s">
        <v>106</v>
      </c>
      <c r="W25" t="s">
        <v>107</v>
      </c>
      <c r="X25" t="s">
        <v>108</v>
      </c>
      <c r="Y25" t="s">
        <v>109</v>
      </c>
      <c r="Z25" t="s">
        <v>58</v>
      </c>
      <c r="AC25" t="s">
        <v>110</v>
      </c>
      <c r="AD25">
        <v>104</v>
      </c>
      <c r="AF25" s="34"/>
      <c r="AH25" t="s">
        <v>34</v>
      </c>
      <c r="AI25" t="s">
        <v>111</v>
      </c>
      <c r="AJ25" t="s">
        <v>51</v>
      </c>
      <c r="AK25">
        <f>COUNTIF(Fives[Upgraded By],Fives[[#This Row],[Upgraded By]])</f>
        <v>1</v>
      </c>
      <c r="AL25" t="str">
        <f>IF(Fives[[#This Row],[Split Credit]]="",Fives[[#This Row],[Upgraded By]],IF(ISNUMBER(FIND(Fives[[#This Row],[Upgraded By]],Fives[[#This Row],[Split Credit]])),Fives[[#This Row],[Split Credit]],Fives[[#This Row],[Upgraded By]]&amp;"; "&amp;Fives[[#This Row],[Split Credit]]))</f>
        <v>Crustaceous Investments</v>
      </c>
    </row>
    <row r="26" spans="1:38" x14ac:dyDescent="0.8">
      <c r="A26" t="s">
        <v>60</v>
      </c>
      <c r="B26" t="s">
        <v>61</v>
      </c>
      <c r="C26" t="s">
        <v>62</v>
      </c>
      <c r="D26" t="s">
        <v>134</v>
      </c>
      <c r="E26" s="33" t="s">
        <v>64</v>
      </c>
      <c r="G26" t="s">
        <v>64</v>
      </c>
      <c r="H26" s="34">
        <v>45348</v>
      </c>
      <c r="I26" t="s">
        <v>55</v>
      </c>
      <c r="J26" t="s">
        <v>31</v>
      </c>
      <c r="K26" t="s">
        <v>32</v>
      </c>
      <c r="N26" t="s">
        <v>31</v>
      </c>
      <c r="O26" t="s">
        <v>33</v>
      </c>
      <c r="Q26">
        <v>0</v>
      </c>
      <c r="R26" s="34">
        <v>45348</v>
      </c>
      <c r="S26" t="s">
        <v>65</v>
      </c>
      <c r="T26" s="34">
        <v>45348</v>
      </c>
      <c r="U26" t="s">
        <v>66</v>
      </c>
      <c r="V26" s="35" t="s">
        <v>67</v>
      </c>
      <c r="W26" t="s">
        <v>68</v>
      </c>
      <c r="X26" t="s">
        <v>69</v>
      </c>
      <c r="Y26" t="s">
        <v>70</v>
      </c>
      <c r="Z26" t="s">
        <v>71</v>
      </c>
      <c r="AA26" t="s">
        <v>72</v>
      </c>
      <c r="AC26" t="s">
        <v>73</v>
      </c>
      <c r="AD26">
        <v>93</v>
      </c>
      <c r="AE26">
        <v>0</v>
      </c>
      <c r="AF26" s="34">
        <v>44593</v>
      </c>
      <c r="AG26">
        <v>400000</v>
      </c>
      <c r="AH26" t="s">
        <v>57</v>
      </c>
      <c r="AI26" t="s">
        <v>74</v>
      </c>
      <c r="AJ26" t="s">
        <v>51</v>
      </c>
      <c r="AK26">
        <f>COUNTIF(Fives[Upgraded By],Fives[[#This Row],[Upgraded By]])</f>
        <v>37</v>
      </c>
      <c r="AL26" t="str">
        <f>IF(Fives[[#This Row],[Split Credit]]="",Fives[[#This Row],[Upgraded By]],IF(ISNUMBER(FIND(Fives[[#This Row],[Upgraded By]],Fives[[#This Row],[Split Credit]])),Fives[[#This Row],[Split Credit]],Fives[[#This Row],[Upgraded By]]&amp;"; "&amp;Fives[[#This Row],[Split Credit]]))</f>
        <v>Ben MacShane</v>
      </c>
    </row>
    <row r="27" spans="1:38" x14ac:dyDescent="0.8">
      <c r="A27" t="s">
        <v>75</v>
      </c>
      <c r="B27" t="s">
        <v>76</v>
      </c>
      <c r="C27" t="s">
        <v>77</v>
      </c>
      <c r="D27" t="s">
        <v>135</v>
      </c>
      <c r="E27" s="33" t="s">
        <v>79</v>
      </c>
      <c r="G27" t="s">
        <v>64</v>
      </c>
      <c r="H27" s="34">
        <v>45350</v>
      </c>
      <c r="I27" t="s">
        <v>49</v>
      </c>
      <c r="J27" t="s">
        <v>31</v>
      </c>
      <c r="K27" t="s">
        <v>32</v>
      </c>
      <c r="N27" t="s">
        <v>31</v>
      </c>
      <c r="O27" t="s">
        <v>33</v>
      </c>
      <c r="Q27">
        <v>0</v>
      </c>
      <c r="R27" s="34">
        <v>45350</v>
      </c>
      <c r="S27" t="s">
        <v>80</v>
      </c>
      <c r="T27" s="34">
        <v>45350</v>
      </c>
      <c r="U27" t="s">
        <v>81</v>
      </c>
      <c r="V27" s="35" t="s">
        <v>82</v>
      </c>
      <c r="W27" t="s">
        <v>83</v>
      </c>
      <c r="X27" t="s">
        <v>84</v>
      </c>
      <c r="Y27" t="s">
        <v>85</v>
      </c>
      <c r="Z27" t="s">
        <v>86</v>
      </c>
      <c r="AC27" t="s">
        <v>87</v>
      </c>
      <c r="AD27">
        <v>109</v>
      </c>
      <c r="AF27" s="34"/>
      <c r="AH27" t="s">
        <v>34</v>
      </c>
      <c r="AI27" t="s">
        <v>88</v>
      </c>
      <c r="AJ27" t="s">
        <v>51</v>
      </c>
      <c r="AK27">
        <f>COUNTIF(Fives[Upgraded By],Fives[[#This Row],[Upgraded By]])</f>
        <v>37</v>
      </c>
      <c r="AL27" t="str">
        <f>IF(Fives[[#This Row],[Split Credit]]="",Fives[[#This Row],[Upgraded By]],IF(ISNUMBER(FIND(Fives[[#This Row],[Upgraded By]],Fives[[#This Row],[Split Credit]])),Fives[[#This Row],[Split Credit]],Fives[[#This Row],[Upgraded By]]&amp;"; "&amp;Fives[[#This Row],[Split Credit]]))</f>
        <v>Ben MacShane</v>
      </c>
    </row>
    <row r="28" spans="1:38" x14ac:dyDescent="0.8">
      <c r="A28" t="s">
        <v>89</v>
      </c>
      <c r="B28" t="s">
        <v>90</v>
      </c>
      <c r="C28" t="s">
        <v>91</v>
      </c>
      <c r="D28" t="s">
        <v>136</v>
      </c>
      <c r="E28" s="33" t="s">
        <v>64</v>
      </c>
      <c r="G28" t="s">
        <v>64</v>
      </c>
      <c r="H28" s="34">
        <v>45354</v>
      </c>
      <c r="I28" t="s">
        <v>49</v>
      </c>
      <c r="J28" t="s">
        <v>31</v>
      </c>
      <c r="K28" t="s">
        <v>32</v>
      </c>
      <c r="N28" t="s">
        <v>31</v>
      </c>
      <c r="O28" t="s">
        <v>33</v>
      </c>
      <c r="Q28">
        <v>0</v>
      </c>
      <c r="R28" s="34">
        <v>45352</v>
      </c>
      <c r="S28" t="s">
        <v>93</v>
      </c>
      <c r="T28" s="34">
        <v>45352</v>
      </c>
      <c r="U28" t="s">
        <v>94</v>
      </c>
      <c r="V28" s="35" t="s">
        <v>95</v>
      </c>
      <c r="W28" t="s">
        <v>96</v>
      </c>
      <c r="X28" t="s">
        <v>97</v>
      </c>
      <c r="Y28" t="s">
        <v>98</v>
      </c>
      <c r="Z28" t="s">
        <v>56</v>
      </c>
      <c r="AC28" t="s">
        <v>99</v>
      </c>
      <c r="AD28">
        <v>59</v>
      </c>
      <c r="AF28" s="34"/>
      <c r="AH28" t="s">
        <v>34</v>
      </c>
      <c r="AI28" t="s">
        <v>100</v>
      </c>
      <c r="AJ28" t="s">
        <v>51</v>
      </c>
      <c r="AK28">
        <f>COUNTIF(Fives[Upgraded By],Fives[[#This Row],[Upgraded By]])</f>
        <v>37</v>
      </c>
      <c r="AL28" t="str">
        <f>IF(Fives[[#This Row],[Split Credit]]="",Fives[[#This Row],[Upgraded By]],IF(ISNUMBER(FIND(Fives[[#This Row],[Upgraded By]],Fives[[#This Row],[Split Credit]])),Fives[[#This Row],[Split Credit]],Fives[[#This Row],[Upgraded By]]&amp;"; "&amp;Fives[[#This Row],[Split Credit]]))</f>
        <v>Ben MacShane</v>
      </c>
    </row>
    <row r="29" spans="1:38" x14ac:dyDescent="0.8">
      <c r="A29" t="s">
        <v>101</v>
      </c>
      <c r="B29" t="s">
        <v>102</v>
      </c>
      <c r="C29" t="s">
        <v>103</v>
      </c>
      <c r="D29" t="s">
        <v>137</v>
      </c>
      <c r="E29" s="36" t="s">
        <v>64</v>
      </c>
      <c r="G29" t="s">
        <v>64</v>
      </c>
      <c r="H29" s="34">
        <v>45354</v>
      </c>
      <c r="I29" t="s">
        <v>55</v>
      </c>
      <c r="J29" t="s">
        <v>31</v>
      </c>
      <c r="K29" t="s">
        <v>32</v>
      </c>
      <c r="N29" t="s">
        <v>31</v>
      </c>
      <c r="O29" t="s">
        <v>33</v>
      </c>
      <c r="Q29">
        <v>0</v>
      </c>
      <c r="R29" s="34">
        <v>45351</v>
      </c>
      <c r="S29" t="s">
        <v>105</v>
      </c>
      <c r="T29" s="34">
        <v>45351</v>
      </c>
      <c r="U29" t="s">
        <v>59</v>
      </c>
      <c r="V29" s="35" t="s">
        <v>106</v>
      </c>
      <c r="W29" t="s">
        <v>107</v>
      </c>
      <c r="X29" t="s">
        <v>108</v>
      </c>
      <c r="Y29" t="s">
        <v>109</v>
      </c>
      <c r="Z29" t="s">
        <v>58</v>
      </c>
      <c r="AC29" t="s">
        <v>110</v>
      </c>
      <c r="AD29">
        <v>104</v>
      </c>
      <c r="AF29" s="34"/>
      <c r="AH29" t="s">
        <v>34</v>
      </c>
      <c r="AI29" t="s">
        <v>111</v>
      </c>
      <c r="AJ29" t="s">
        <v>51</v>
      </c>
      <c r="AK29">
        <f>COUNTIF(Fives[Upgraded By],Fives[[#This Row],[Upgraded By]])</f>
        <v>37</v>
      </c>
      <c r="AL29" t="str">
        <f>IF(Fives[[#This Row],[Split Credit]]="",Fives[[#This Row],[Upgraded By]],IF(ISNUMBER(FIND(Fives[[#This Row],[Upgraded By]],Fives[[#This Row],[Split Credit]])),Fives[[#This Row],[Split Credit]],Fives[[#This Row],[Upgraded By]]&amp;"; "&amp;Fives[[#This Row],[Split Credit]]))</f>
        <v>Ben MacShane</v>
      </c>
    </row>
    <row r="30" spans="1:38" x14ac:dyDescent="0.8">
      <c r="A30" t="s">
        <v>60</v>
      </c>
      <c r="B30" t="s">
        <v>61</v>
      </c>
      <c r="C30" t="s">
        <v>62</v>
      </c>
      <c r="D30" t="s">
        <v>138</v>
      </c>
      <c r="E30" s="33" t="s">
        <v>64</v>
      </c>
      <c r="G30" t="s">
        <v>64</v>
      </c>
      <c r="H30" s="34">
        <v>45348</v>
      </c>
      <c r="I30" t="s">
        <v>55</v>
      </c>
      <c r="J30" t="s">
        <v>31</v>
      </c>
      <c r="K30" t="s">
        <v>32</v>
      </c>
      <c r="N30" t="s">
        <v>31</v>
      </c>
      <c r="O30" t="s">
        <v>33</v>
      </c>
      <c r="Q30">
        <v>0</v>
      </c>
      <c r="R30" s="34">
        <v>45348</v>
      </c>
      <c r="S30" t="s">
        <v>65</v>
      </c>
      <c r="T30" s="34">
        <v>45348</v>
      </c>
      <c r="U30" t="s">
        <v>66</v>
      </c>
      <c r="V30" s="35" t="s">
        <v>67</v>
      </c>
      <c r="W30" t="s">
        <v>68</v>
      </c>
      <c r="X30" t="s">
        <v>69</v>
      </c>
      <c r="Y30" t="s">
        <v>70</v>
      </c>
      <c r="Z30" t="s">
        <v>71</v>
      </c>
      <c r="AA30" t="s">
        <v>72</v>
      </c>
      <c r="AC30" t="s">
        <v>73</v>
      </c>
      <c r="AD30">
        <v>93</v>
      </c>
      <c r="AE30">
        <v>0</v>
      </c>
      <c r="AF30" s="34">
        <v>44593</v>
      </c>
      <c r="AG30">
        <v>400000</v>
      </c>
      <c r="AH30" t="s">
        <v>57</v>
      </c>
      <c r="AI30" t="s">
        <v>74</v>
      </c>
      <c r="AJ30" t="s">
        <v>51</v>
      </c>
      <c r="AK30">
        <f>COUNTIF(Fives[Upgraded By],Fives[[#This Row],[Upgraded By]])</f>
        <v>37</v>
      </c>
      <c r="AL30" t="str">
        <f>IF(Fives[[#This Row],[Split Credit]]="",Fives[[#This Row],[Upgraded By]],IF(ISNUMBER(FIND(Fives[[#This Row],[Upgraded By]],Fives[[#This Row],[Split Credit]])),Fives[[#This Row],[Split Credit]],Fives[[#This Row],[Upgraded By]]&amp;"; "&amp;Fives[[#This Row],[Split Credit]]))</f>
        <v>Ben MacShane</v>
      </c>
    </row>
    <row r="31" spans="1:38" x14ac:dyDescent="0.8">
      <c r="A31" t="s">
        <v>75</v>
      </c>
      <c r="B31" t="s">
        <v>76</v>
      </c>
      <c r="C31" t="s">
        <v>77</v>
      </c>
      <c r="D31" t="s">
        <v>139</v>
      </c>
      <c r="E31" s="33" t="s">
        <v>79</v>
      </c>
      <c r="G31" t="s">
        <v>64</v>
      </c>
      <c r="H31" s="34">
        <v>45350</v>
      </c>
      <c r="I31" t="s">
        <v>49</v>
      </c>
      <c r="J31" t="s">
        <v>31</v>
      </c>
      <c r="K31" t="s">
        <v>32</v>
      </c>
      <c r="N31" t="s">
        <v>31</v>
      </c>
      <c r="O31" t="s">
        <v>33</v>
      </c>
      <c r="Q31">
        <v>0</v>
      </c>
      <c r="R31" s="34">
        <v>45350</v>
      </c>
      <c r="S31" t="s">
        <v>80</v>
      </c>
      <c r="T31" s="34">
        <v>45350</v>
      </c>
      <c r="U31" t="s">
        <v>81</v>
      </c>
      <c r="V31" s="35" t="s">
        <v>82</v>
      </c>
      <c r="W31" t="s">
        <v>83</v>
      </c>
      <c r="X31" t="s">
        <v>84</v>
      </c>
      <c r="Y31" t="s">
        <v>85</v>
      </c>
      <c r="Z31" t="s">
        <v>86</v>
      </c>
      <c r="AC31" t="s">
        <v>87</v>
      </c>
      <c r="AD31">
        <v>109</v>
      </c>
      <c r="AF31" s="34"/>
      <c r="AH31" t="s">
        <v>34</v>
      </c>
      <c r="AI31" t="s">
        <v>88</v>
      </c>
      <c r="AJ31" t="s">
        <v>51</v>
      </c>
      <c r="AK31">
        <f>COUNTIF(Fives[Upgraded By],Fives[[#This Row],[Upgraded By]])</f>
        <v>37</v>
      </c>
      <c r="AL31" t="str">
        <f>IF(Fives[[#This Row],[Split Credit]]="",Fives[[#This Row],[Upgraded By]],IF(ISNUMBER(FIND(Fives[[#This Row],[Upgraded By]],Fives[[#This Row],[Split Credit]])),Fives[[#This Row],[Split Credit]],Fives[[#This Row],[Upgraded By]]&amp;"; "&amp;Fives[[#This Row],[Split Credit]]))</f>
        <v>Ben MacShane</v>
      </c>
    </row>
    <row r="32" spans="1:38" x14ac:dyDescent="0.8">
      <c r="A32" t="s">
        <v>89</v>
      </c>
      <c r="B32" t="s">
        <v>90</v>
      </c>
      <c r="C32" t="s">
        <v>91</v>
      </c>
      <c r="D32" t="s">
        <v>140</v>
      </c>
      <c r="E32" s="33" t="s">
        <v>64</v>
      </c>
      <c r="G32" t="s">
        <v>64</v>
      </c>
      <c r="H32" s="34">
        <v>45354</v>
      </c>
      <c r="I32" t="s">
        <v>49</v>
      </c>
      <c r="J32" t="s">
        <v>31</v>
      </c>
      <c r="K32" t="s">
        <v>32</v>
      </c>
      <c r="N32" t="s">
        <v>31</v>
      </c>
      <c r="O32" t="s">
        <v>33</v>
      </c>
      <c r="Q32">
        <v>0</v>
      </c>
      <c r="R32" s="34">
        <v>45352</v>
      </c>
      <c r="S32" t="s">
        <v>93</v>
      </c>
      <c r="T32" s="34">
        <v>45352</v>
      </c>
      <c r="U32" t="s">
        <v>94</v>
      </c>
      <c r="V32" s="35" t="s">
        <v>95</v>
      </c>
      <c r="W32" t="s">
        <v>96</v>
      </c>
      <c r="X32" t="s">
        <v>97</v>
      </c>
      <c r="Y32" t="s">
        <v>98</v>
      </c>
      <c r="Z32" t="s">
        <v>56</v>
      </c>
      <c r="AC32" t="s">
        <v>99</v>
      </c>
      <c r="AD32">
        <v>59</v>
      </c>
      <c r="AF32" s="34"/>
      <c r="AH32" t="s">
        <v>34</v>
      </c>
      <c r="AI32" t="s">
        <v>100</v>
      </c>
      <c r="AJ32" t="s">
        <v>51</v>
      </c>
      <c r="AK32">
        <f>COUNTIF(Fives[Upgraded By],Fives[[#This Row],[Upgraded By]])</f>
        <v>37</v>
      </c>
      <c r="AL32" t="str">
        <f>IF(Fives[[#This Row],[Split Credit]]="",Fives[[#This Row],[Upgraded By]],IF(ISNUMBER(FIND(Fives[[#This Row],[Upgraded By]],Fives[[#This Row],[Split Credit]])),Fives[[#This Row],[Split Credit]],Fives[[#This Row],[Upgraded By]]&amp;"; "&amp;Fives[[#This Row],[Split Credit]]))</f>
        <v>Ben MacShane</v>
      </c>
    </row>
    <row r="33" spans="1:38" x14ac:dyDescent="0.8">
      <c r="A33" t="s">
        <v>101</v>
      </c>
      <c r="B33" t="s">
        <v>102</v>
      </c>
      <c r="C33" t="s">
        <v>103</v>
      </c>
      <c r="D33" t="s">
        <v>141</v>
      </c>
      <c r="E33" s="36" t="s">
        <v>64</v>
      </c>
      <c r="G33" t="s">
        <v>64</v>
      </c>
      <c r="H33" s="34">
        <v>45354</v>
      </c>
      <c r="I33" t="s">
        <v>55</v>
      </c>
      <c r="J33" t="s">
        <v>31</v>
      </c>
      <c r="K33" t="s">
        <v>32</v>
      </c>
      <c r="N33" t="s">
        <v>31</v>
      </c>
      <c r="O33" t="s">
        <v>33</v>
      </c>
      <c r="Q33">
        <v>0</v>
      </c>
      <c r="R33" s="34">
        <v>45351</v>
      </c>
      <c r="S33" t="s">
        <v>105</v>
      </c>
      <c r="T33" s="34">
        <v>45351</v>
      </c>
      <c r="U33" t="s">
        <v>59</v>
      </c>
      <c r="V33" s="35" t="s">
        <v>106</v>
      </c>
      <c r="W33" t="s">
        <v>107</v>
      </c>
      <c r="X33" t="s">
        <v>108</v>
      </c>
      <c r="Y33" t="s">
        <v>109</v>
      </c>
      <c r="Z33" t="s">
        <v>58</v>
      </c>
      <c r="AC33" t="s">
        <v>110</v>
      </c>
      <c r="AD33">
        <v>104</v>
      </c>
      <c r="AF33" s="34"/>
      <c r="AH33" t="s">
        <v>34</v>
      </c>
      <c r="AI33" t="s">
        <v>111</v>
      </c>
      <c r="AJ33" t="s">
        <v>51</v>
      </c>
      <c r="AK33">
        <f>COUNTIF(Fives[Upgraded By],Fives[[#This Row],[Upgraded By]])</f>
        <v>37</v>
      </c>
      <c r="AL33" t="str">
        <f>IF(Fives[[#This Row],[Split Credit]]="",Fives[[#This Row],[Upgraded By]],IF(ISNUMBER(FIND(Fives[[#This Row],[Upgraded By]],Fives[[#This Row],[Split Credit]])),Fives[[#This Row],[Split Credit]],Fives[[#This Row],[Upgraded By]]&amp;"; "&amp;Fives[[#This Row],[Split Credit]]))</f>
        <v>Ben MacShane</v>
      </c>
    </row>
    <row r="34" spans="1:38" x14ac:dyDescent="0.8">
      <c r="A34" t="s">
        <v>60</v>
      </c>
      <c r="B34" t="s">
        <v>61</v>
      </c>
      <c r="C34" t="s">
        <v>62</v>
      </c>
      <c r="D34" t="s">
        <v>142</v>
      </c>
      <c r="E34" s="33" t="s">
        <v>64</v>
      </c>
      <c r="G34" t="s">
        <v>64</v>
      </c>
      <c r="H34" s="34">
        <v>45348</v>
      </c>
      <c r="I34" t="s">
        <v>55</v>
      </c>
      <c r="J34" t="s">
        <v>31</v>
      </c>
      <c r="K34" t="s">
        <v>32</v>
      </c>
      <c r="N34" t="s">
        <v>31</v>
      </c>
      <c r="O34" t="s">
        <v>33</v>
      </c>
      <c r="Q34">
        <v>0</v>
      </c>
      <c r="R34" s="34">
        <v>45348</v>
      </c>
      <c r="S34" t="s">
        <v>65</v>
      </c>
      <c r="T34" s="34">
        <v>45348</v>
      </c>
      <c r="U34" t="s">
        <v>66</v>
      </c>
      <c r="V34" s="35" t="s">
        <v>67</v>
      </c>
      <c r="W34" t="s">
        <v>68</v>
      </c>
      <c r="X34" t="s">
        <v>69</v>
      </c>
      <c r="Y34" t="s">
        <v>70</v>
      </c>
      <c r="Z34" t="s">
        <v>71</v>
      </c>
      <c r="AA34" t="s">
        <v>72</v>
      </c>
      <c r="AC34" t="s">
        <v>73</v>
      </c>
      <c r="AD34">
        <v>93</v>
      </c>
      <c r="AE34">
        <v>0</v>
      </c>
      <c r="AF34" s="34">
        <v>44593</v>
      </c>
      <c r="AG34">
        <v>400000</v>
      </c>
      <c r="AH34" t="s">
        <v>57</v>
      </c>
      <c r="AI34" t="s">
        <v>74</v>
      </c>
      <c r="AJ34" t="s">
        <v>51</v>
      </c>
      <c r="AK34">
        <f>COUNTIF(Fives[Upgraded By],Fives[[#This Row],[Upgraded By]])</f>
        <v>37</v>
      </c>
      <c r="AL34" t="str">
        <f>IF(Fives[[#This Row],[Split Credit]]="",Fives[[#This Row],[Upgraded By]],IF(ISNUMBER(FIND(Fives[[#This Row],[Upgraded By]],Fives[[#This Row],[Split Credit]])),Fives[[#This Row],[Split Credit]],Fives[[#This Row],[Upgraded By]]&amp;"; "&amp;Fives[[#This Row],[Split Credit]]))</f>
        <v>Ben MacShane</v>
      </c>
    </row>
    <row r="35" spans="1:38" x14ac:dyDescent="0.8">
      <c r="A35" t="s">
        <v>75</v>
      </c>
      <c r="B35" t="s">
        <v>76</v>
      </c>
      <c r="C35" t="s">
        <v>77</v>
      </c>
      <c r="D35" t="s">
        <v>143</v>
      </c>
      <c r="E35" s="33" t="s">
        <v>79</v>
      </c>
      <c r="G35" t="s">
        <v>64</v>
      </c>
      <c r="H35" s="34">
        <v>45350</v>
      </c>
      <c r="I35" t="s">
        <v>49</v>
      </c>
      <c r="J35" t="s">
        <v>31</v>
      </c>
      <c r="K35" t="s">
        <v>32</v>
      </c>
      <c r="N35" t="s">
        <v>31</v>
      </c>
      <c r="O35" t="s">
        <v>33</v>
      </c>
      <c r="Q35">
        <v>0</v>
      </c>
      <c r="R35" s="34">
        <v>45350</v>
      </c>
      <c r="S35" t="s">
        <v>80</v>
      </c>
      <c r="T35" s="34">
        <v>45350</v>
      </c>
      <c r="U35" t="s">
        <v>81</v>
      </c>
      <c r="V35" s="35" t="s">
        <v>82</v>
      </c>
      <c r="W35" t="s">
        <v>83</v>
      </c>
      <c r="X35" t="s">
        <v>84</v>
      </c>
      <c r="Y35" t="s">
        <v>85</v>
      </c>
      <c r="Z35" t="s">
        <v>86</v>
      </c>
      <c r="AC35" t="s">
        <v>87</v>
      </c>
      <c r="AD35">
        <v>109</v>
      </c>
      <c r="AF35" s="34"/>
      <c r="AH35" t="s">
        <v>34</v>
      </c>
      <c r="AI35" t="s">
        <v>88</v>
      </c>
      <c r="AJ35" t="s">
        <v>51</v>
      </c>
      <c r="AK35">
        <f>COUNTIF(Fives[Upgraded By],Fives[[#This Row],[Upgraded By]])</f>
        <v>37</v>
      </c>
      <c r="AL35" t="str">
        <f>IF(Fives[[#This Row],[Split Credit]]="",Fives[[#This Row],[Upgraded By]],IF(ISNUMBER(FIND(Fives[[#This Row],[Upgraded By]],Fives[[#This Row],[Split Credit]])),Fives[[#This Row],[Split Credit]],Fives[[#This Row],[Upgraded By]]&amp;"; "&amp;Fives[[#This Row],[Split Credit]]))</f>
        <v>Ben MacShane</v>
      </c>
    </row>
    <row r="36" spans="1:38" x14ac:dyDescent="0.8">
      <c r="A36" t="s">
        <v>89</v>
      </c>
      <c r="B36" t="s">
        <v>90</v>
      </c>
      <c r="C36" t="s">
        <v>91</v>
      </c>
      <c r="D36" t="s">
        <v>144</v>
      </c>
      <c r="E36" s="33" t="s">
        <v>64</v>
      </c>
      <c r="G36" t="s">
        <v>64</v>
      </c>
      <c r="H36" s="34">
        <v>45354</v>
      </c>
      <c r="I36" t="s">
        <v>49</v>
      </c>
      <c r="J36" t="s">
        <v>31</v>
      </c>
      <c r="K36" t="s">
        <v>32</v>
      </c>
      <c r="N36" t="s">
        <v>31</v>
      </c>
      <c r="O36" t="s">
        <v>33</v>
      </c>
      <c r="Q36">
        <v>0</v>
      </c>
      <c r="R36" s="34">
        <v>45352</v>
      </c>
      <c r="S36" t="s">
        <v>93</v>
      </c>
      <c r="T36" s="34">
        <v>45352</v>
      </c>
      <c r="U36" t="s">
        <v>94</v>
      </c>
      <c r="V36" s="35" t="s">
        <v>95</v>
      </c>
      <c r="W36" t="s">
        <v>96</v>
      </c>
      <c r="X36" t="s">
        <v>97</v>
      </c>
      <c r="Y36" t="s">
        <v>98</v>
      </c>
      <c r="Z36" t="s">
        <v>56</v>
      </c>
      <c r="AC36" t="s">
        <v>99</v>
      </c>
      <c r="AD36">
        <v>59</v>
      </c>
      <c r="AF36" s="34"/>
      <c r="AH36" t="s">
        <v>34</v>
      </c>
      <c r="AI36" t="s">
        <v>100</v>
      </c>
      <c r="AJ36" t="s">
        <v>51</v>
      </c>
      <c r="AK36">
        <f>COUNTIF(Fives[Upgraded By],Fives[[#This Row],[Upgraded By]])</f>
        <v>37</v>
      </c>
      <c r="AL36" t="str">
        <f>IF(Fives[[#This Row],[Split Credit]]="",Fives[[#This Row],[Upgraded By]],IF(ISNUMBER(FIND(Fives[[#This Row],[Upgraded By]],Fives[[#This Row],[Split Credit]])),Fives[[#This Row],[Split Credit]],Fives[[#This Row],[Upgraded By]]&amp;"; "&amp;Fives[[#This Row],[Split Credit]]))</f>
        <v>Ben MacShane</v>
      </c>
    </row>
    <row r="37" spans="1:38" x14ac:dyDescent="0.8">
      <c r="A37" t="s">
        <v>101</v>
      </c>
      <c r="B37" t="s">
        <v>102</v>
      </c>
      <c r="C37" t="s">
        <v>103</v>
      </c>
      <c r="D37" t="s">
        <v>145</v>
      </c>
      <c r="E37" s="36" t="s">
        <v>64</v>
      </c>
      <c r="G37" t="s">
        <v>64</v>
      </c>
      <c r="H37" s="34">
        <v>45354</v>
      </c>
      <c r="I37" t="s">
        <v>55</v>
      </c>
      <c r="J37" t="s">
        <v>31</v>
      </c>
      <c r="K37" t="s">
        <v>32</v>
      </c>
      <c r="N37" t="s">
        <v>31</v>
      </c>
      <c r="O37" t="s">
        <v>33</v>
      </c>
      <c r="Q37">
        <v>0</v>
      </c>
      <c r="R37" s="34">
        <v>45351</v>
      </c>
      <c r="S37" t="s">
        <v>105</v>
      </c>
      <c r="T37" s="34">
        <v>45351</v>
      </c>
      <c r="U37" t="s">
        <v>59</v>
      </c>
      <c r="V37" s="35" t="s">
        <v>106</v>
      </c>
      <c r="W37" t="s">
        <v>107</v>
      </c>
      <c r="X37" t="s">
        <v>108</v>
      </c>
      <c r="Y37" t="s">
        <v>109</v>
      </c>
      <c r="Z37" t="s">
        <v>58</v>
      </c>
      <c r="AC37" t="s">
        <v>110</v>
      </c>
      <c r="AD37">
        <v>104</v>
      </c>
      <c r="AF37" s="34"/>
      <c r="AH37" t="s">
        <v>34</v>
      </c>
      <c r="AI37" t="s">
        <v>111</v>
      </c>
      <c r="AJ37" t="s">
        <v>51</v>
      </c>
      <c r="AK37">
        <f>COUNTIF(Fives[Upgraded By],Fives[[#This Row],[Upgraded By]])</f>
        <v>37</v>
      </c>
      <c r="AL37" t="str">
        <f>IF(Fives[[#This Row],[Split Credit]]="",Fives[[#This Row],[Upgraded By]],IF(ISNUMBER(FIND(Fives[[#This Row],[Upgraded By]],Fives[[#This Row],[Split Credit]])),Fives[[#This Row],[Split Credit]],Fives[[#This Row],[Upgraded By]]&amp;"; "&amp;Fives[[#This Row],[Split Credit]]))</f>
        <v>Ben MacShane</v>
      </c>
    </row>
    <row r="38" spans="1:38" x14ac:dyDescent="0.8">
      <c r="A38" t="s">
        <v>60</v>
      </c>
      <c r="B38" t="s">
        <v>61</v>
      </c>
      <c r="C38" t="s">
        <v>62</v>
      </c>
      <c r="D38" t="s">
        <v>146</v>
      </c>
      <c r="E38" s="33" t="s">
        <v>64</v>
      </c>
      <c r="G38" t="s">
        <v>64</v>
      </c>
      <c r="H38" s="34">
        <v>45348</v>
      </c>
      <c r="I38" t="s">
        <v>55</v>
      </c>
      <c r="J38" t="s">
        <v>31</v>
      </c>
      <c r="K38" t="s">
        <v>32</v>
      </c>
      <c r="N38" t="s">
        <v>31</v>
      </c>
      <c r="O38" t="s">
        <v>33</v>
      </c>
      <c r="Q38">
        <v>0</v>
      </c>
      <c r="R38" s="34">
        <v>45348</v>
      </c>
      <c r="S38" t="s">
        <v>65</v>
      </c>
      <c r="T38" s="34">
        <v>45348</v>
      </c>
      <c r="U38" t="s">
        <v>66</v>
      </c>
      <c r="V38" s="35" t="s">
        <v>67</v>
      </c>
      <c r="W38" t="s">
        <v>68</v>
      </c>
      <c r="X38" t="s">
        <v>69</v>
      </c>
      <c r="Y38" t="s">
        <v>70</v>
      </c>
      <c r="Z38" t="s">
        <v>71</v>
      </c>
      <c r="AA38" t="s">
        <v>72</v>
      </c>
      <c r="AC38" t="s">
        <v>73</v>
      </c>
      <c r="AD38">
        <v>93</v>
      </c>
      <c r="AE38">
        <v>0</v>
      </c>
      <c r="AF38" s="34">
        <v>44593</v>
      </c>
      <c r="AG38">
        <v>400000</v>
      </c>
      <c r="AH38" t="s">
        <v>57</v>
      </c>
      <c r="AI38" t="s">
        <v>74</v>
      </c>
      <c r="AJ38" t="s">
        <v>51</v>
      </c>
      <c r="AK38">
        <f>COUNTIF(Fives[Upgraded By],Fives[[#This Row],[Upgraded By]])</f>
        <v>37</v>
      </c>
      <c r="AL38" t="str">
        <f>IF(Fives[[#This Row],[Split Credit]]="",Fives[[#This Row],[Upgraded By]],IF(ISNUMBER(FIND(Fives[[#This Row],[Upgraded By]],Fives[[#This Row],[Split Credit]])),Fives[[#This Row],[Split Credit]],Fives[[#This Row],[Upgraded By]]&amp;"; "&amp;Fives[[#This Row],[Split Credit]]))</f>
        <v>Ben MacShane</v>
      </c>
    </row>
    <row r="39" spans="1:38" x14ac:dyDescent="0.8">
      <c r="A39" t="s">
        <v>75</v>
      </c>
      <c r="B39" t="s">
        <v>76</v>
      </c>
      <c r="C39" t="s">
        <v>77</v>
      </c>
      <c r="D39" t="s">
        <v>147</v>
      </c>
      <c r="E39" s="33" t="s">
        <v>79</v>
      </c>
      <c r="G39" t="s">
        <v>158</v>
      </c>
      <c r="H39" s="34">
        <v>45350</v>
      </c>
      <c r="I39" t="s">
        <v>49</v>
      </c>
      <c r="J39" t="s">
        <v>31</v>
      </c>
      <c r="K39" t="s">
        <v>32</v>
      </c>
      <c r="N39" t="s">
        <v>31</v>
      </c>
      <c r="O39" t="s">
        <v>33</v>
      </c>
      <c r="Q39">
        <v>0</v>
      </c>
      <c r="R39" s="34">
        <v>45350</v>
      </c>
      <c r="S39" t="s">
        <v>80</v>
      </c>
      <c r="T39" s="34">
        <v>45350</v>
      </c>
      <c r="U39" t="s">
        <v>81</v>
      </c>
      <c r="V39" s="35" t="s">
        <v>82</v>
      </c>
      <c r="W39" t="s">
        <v>83</v>
      </c>
      <c r="X39" t="s">
        <v>84</v>
      </c>
      <c r="Y39" t="s">
        <v>85</v>
      </c>
      <c r="Z39" t="s">
        <v>86</v>
      </c>
      <c r="AC39" t="s">
        <v>87</v>
      </c>
      <c r="AD39">
        <v>109</v>
      </c>
      <c r="AF39" s="34"/>
      <c r="AH39" t="s">
        <v>34</v>
      </c>
      <c r="AI39" t="s">
        <v>88</v>
      </c>
      <c r="AJ39" t="s">
        <v>51</v>
      </c>
      <c r="AK39">
        <f>COUNTIF(Fives[Upgraded By],Fives[[#This Row],[Upgraded By]])</f>
        <v>1</v>
      </c>
      <c r="AL39" t="str">
        <f>IF(Fives[[#This Row],[Split Credit]]="",Fives[[#This Row],[Upgraded By]],IF(ISNUMBER(FIND(Fives[[#This Row],[Upgraded By]],Fives[[#This Row],[Split Credit]])),Fives[[#This Row],[Split Credit]],Fives[[#This Row],[Upgraded By]]&amp;"; "&amp;Fives[[#This Row],[Split Credit]]))</f>
        <v>Gluteus Pencilman</v>
      </c>
    </row>
    <row r="40" spans="1:38" x14ac:dyDescent="0.8">
      <c r="A40" t="s">
        <v>89</v>
      </c>
      <c r="B40" t="s">
        <v>90</v>
      </c>
      <c r="C40" t="s">
        <v>91</v>
      </c>
      <c r="D40" t="s">
        <v>148</v>
      </c>
      <c r="E40" s="33" t="s">
        <v>64</v>
      </c>
      <c r="G40" t="s">
        <v>64</v>
      </c>
      <c r="H40" s="34">
        <v>45354</v>
      </c>
      <c r="I40" t="s">
        <v>49</v>
      </c>
      <c r="J40" t="s">
        <v>31</v>
      </c>
      <c r="K40" t="s">
        <v>32</v>
      </c>
      <c r="N40" t="s">
        <v>31</v>
      </c>
      <c r="O40" t="s">
        <v>33</v>
      </c>
      <c r="Q40">
        <v>0</v>
      </c>
      <c r="R40" s="34">
        <v>45352</v>
      </c>
      <c r="S40" t="s">
        <v>93</v>
      </c>
      <c r="T40" s="34">
        <v>45352</v>
      </c>
      <c r="U40" t="s">
        <v>94</v>
      </c>
      <c r="V40" s="35" t="s">
        <v>95</v>
      </c>
      <c r="W40" t="s">
        <v>96</v>
      </c>
      <c r="X40" t="s">
        <v>97</v>
      </c>
      <c r="Y40" t="s">
        <v>98</v>
      </c>
      <c r="Z40" t="s">
        <v>56</v>
      </c>
      <c r="AC40" t="s">
        <v>99</v>
      </c>
      <c r="AD40">
        <v>59</v>
      </c>
      <c r="AF40" s="34"/>
      <c r="AH40" t="s">
        <v>34</v>
      </c>
      <c r="AI40" t="s">
        <v>100</v>
      </c>
      <c r="AJ40" t="s">
        <v>51</v>
      </c>
      <c r="AK40">
        <f>COUNTIF(Fives[Upgraded By],Fives[[#This Row],[Upgraded By]])</f>
        <v>37</v>
      </c>
      <c r="AL40" t="str">
        <f>IF(Fives[[#This Row],[Split Credit]]="",Fives[[#This Row],[Upgraded By]],IF(ISNUMBER(FIND(Fives[[#This Row],[Upgraded By]],Fives[[#This Row],[Split Credit]])),Fives[[#This Row],[Split Credit]],Fives[[#This Row],[Upgraded By]]&amp;"; "&amp;Fives[[#This Row],[Split Credit]]))</f>
        <v>Ben MacShane</v>
      </c>
    </row>
    <row r="41" spans="1:38" x14ac:dyDescent="0.8">
      <c r="A41" t="s">
        <v>101</v>
      </c>
      <c r="B41" t="s">
        <v>102</v>
      </c>
      <c r="C41" t="s">
        <v>103</v>
      </c>
      <c r="D41" t="s">
        <v>149</v>
      </c>
      <c r="E41" s="36" t="s">
        <v>64</v>
      </c>
      <c r="G41" t="s">
        <v>159</v>
      </c>
      <c r="H41" s="34">
        <v>45354</v>
      </c>
      <c r="I41" t="s">
        <v>55</v>
      </c>
      <c r="J41" t="s">
        <v>31</v>
      </c>
      <c r="K41" t="s">
        <v>32</v>
      </c>
      <c r="N41" t="s">
        <v>31</v>
      </c>
      <c r="O41" t="s">
        <v>33</v>
      </c>
      <c r="Q41">
        <v>0</v>
      </c>
      <c r="R41" s="34">
        <v>45351</v>
      </c>
      <c r="S41" t="s">
        <v>105</v>
      </c>
      <c r="T41" s="34">
        <v>45351</v>
      </c>
      <c r="U41" t="s">
        <v>59</v>
      </c>
      <c r="V41" s="35" t="s">
        <v>106</v>
      </c>
      <c r="W41" t="s">
        <v>107</v>
      </c>
      <c r="X41" t="s">
        <v>108</v>
      </c>
      <c r="Y41" t="s">
        <v>109</v>
      </c>
      <c r="Z41" t="s">
        <v>58</v>
      </c>
      <c r="AC41" t="s">
        <v>110</v>
      </c>
      <c r="AD41">
        <v>104</v>
      </c>
      <c r="AF41" s="34"/>
      <c r="AH41" t="s">
        <v>34</v>
      </c>
      <c r="AI41" t="s">
        <v>111</v>
      </c>
      <c r="AJ41" t="s">
        <v>51</v>
      </c>
      <c r="AK41">
        <f>COUNTIF(Fives[Upgraded By],Fives[[#This Row],[Upgraded By]])</f>
        <v>1</v>
      </c>
      <c r="AL41" t="str">
        <f>IF(Fives[[#This Row],[Split Credit]]="",Fives[[#This Row],[Upgraded By]],IF(ISNUMBER(FIND(Fives[[#This Row],[Upgraded By]],Fives[[#This Row],[Split Credit]])),Fives[[#This Row],[Split Credit]],Fives[[#This Row],[Upgraded By]]&amp;"; "&amp;Fives[[#This Row],[Split Credit]]))</f>
        <v>Preston Presstors</v>
      </c>
    </row>
    <row r="42" spans="1:38" x14ac:dyDescent="0.8">
      <c r="A42" t="s">
        <v>60</v>
      </c>
      <c r="B42" t="s">
        <v>61</v>
      </c>
      <c r="C42" t="s">
        <v>62</v>
      </c>
      <c r="D42" t="s">
        <v>150</v>
      </c>
      <c r="E42" s="33" t="s">
        <v>64</v>
      </c>
      <c r="G42" t="s">
        <v>64</v>
      </c>
      <c r="H42" s="34">
        <v>45348</v>
      </c>
      <c r="I42" t="s">
        <v>55</v>
      </c>
      <c r="J42" t="s">
        <v>31</v>
      </c>
      <c r="K42" t="s">
        <v>32</v>
      </c>
      <c r="N42" t="s">
        <v>31</v>
      </c>
      <c r="O42" t="s">
        <v>33</v>
      </c>
      <c r="Q42">
        <v>0</v>
      </c>
      <c r="R42" s="34">
        <v>45348</v>
      </c>
      <c r="S42" t="s">
        <v>65</v>
      </c>
      <c r="T42" s="34">
        <v>45348</v>
      </c>
      <c r="U42" t="s">
        <v>66</v>
      </c>
      <c r="V42" s="35" t="s">
        <v>67</v>
      </c>
      <c r="W42" t="s">
        <v>68</v>
      </c>
      <c r="X42" t="s">
        <v>69</v>
      </c>
      <c r="Y42" t="s">
        <v>70</v>
      </c>
      <c r="Z42" t="s">
        <v>71</v>
      </c>
      <c r="AA42" t="s">
        <v>72</v>
      </c>
      <c r="AC42" t="s">
        <v>73</v>
      </c>
      <c r="AD42">
        <v>93</v>
      </c>
      <c r="AE42">
        <v>0</v>
      </c>
      <c r="AF42" s="34">
        <v>44593</v>
      </c>
      <c r="AG42">
        <v>400000</v>
      </c>
      <c r="AH42" t="s">
        <v>57</v>
      </c>
      <c r="AI42" t="s">
        <v>74</v>
      </c>
      <c r="AJ42" t="s">
        <v>51</v>
      </c>
      <c r="AK42">
        <f>COUNTIF(Fives[Upgraded By],Fives[[#This Row],[Upgraded By]])</f>
        <v>37</v>
      </c>
      <c r="AL42" t="str">
        <f>IF(Fives[[#This Row],[Split Credit]]="",Fives[[#This Row],[Upgraded By]],IF(ISNUMBER(FIND(Fives[[#This Row],[Upgraded By]],Fives[[#This Row],[Split Credit]])),Fives[[#This Row],[Split Credit]],Fives[[#This Row],[Upgraded By]]&amp;"; "&amp;Fives[[#This Row],[Split Credit]]))</f>
        <v>Ben MacShane</v>
      </c>
    </row>
    <row r="43" spans="1:38" x14ac:dyDescent="0.8">
      <c r="A43" t="s">
        <v>75</v>
      </c>
      <c r="B43" t="s">
        <v>76</v>
      </c>
      <c r="C43" t="s">
        <v>77</v>
      </c>
      <c r="D43" t="s">
        <v>151</v>
      </c>
      <c r="E43" s="33" t="s">
        <v>79</v>
      </c>
      <c r="G43" t="s">
        <v>64</v>
      </c>
      <c r="H43" s="34">
        <v>45350</v>
      </c>
      <c r="I43" t="s">
        <v>49</v>
      </c>
      <c r="J43" t="s">
        <v>31</v>
      </c>
      <c r="K43" t="s">
        <v>32</v>
      </c>
      <c r="N43" t="s">
        <v>31</v>
      </c>
      <c r="O43" t="s">
        <v>33</v>
      </c>
      <c r="Q43">
        <v>0</v>
      </c>
      <c r="R43" s="34">
        <v>45350</v>
      </c>
      <c r="S43" t="s">
        <v>80</v>
      </c>
      <c r="T43" s="34">
        <v>45350</v>
      </c>
      <c r="U43" t="s">
        <v>81</v>
      </c>
      <c r="V43" s="35" t="s">
        <v>82</v>
      </c>
      <c r="W43" t="s">
        <v>83</v>
      </c>
      <c r="X43" t="s">
        <v>84</v>
      </c>
      <c r="Y43" t="s">
        <v>85</v>
      </c>
      <c r="Z43" t="s">
        <v>86</v>
      </c>
      <c r="AC43" t="s">
        <v>87</v>
      </c>
      <c r="AD43">
        <v>109</v>
      </c>
      <c r="AF43" s="34"/>
      <c r="AH43" t="s">
        <v>34</v>
      </c>
      <c r="AI43" t="s">
        <v>88</v>
      </c>
      <c r="AJ43" t="s">
        <v>51</v>
      </c>
      <c r="AK43">
        <f>COUNTIF(Fives[Upgraded By],Fives[[#This Row],[Upgraded By]])</f>
        <v>37</v>
      </c>
      <c r="AL43" t="str">
        <f>IF(Fives[[#This Row],[Split Credit]]="",Fives[[#This Row],[Upgraded By]],IF(ISNUMBER(FIND(Fives[[#This Row],[Upgraded By]],Fives[[#This Row],[Split Credit]])),Fives[[#This Row],[Split Credit]],Fives[[#This Row],[Upgraded By]]&amp;"; "&amp;Fives[[#This Row],[Split Credit]]))</f>
        <v>Ben MacShane</v>
      </c>
    </row>
    <row r="44" spans="1:38" x14ac:dyDescent="0.8">
      <c r="A44" t="s">
        <v>89</v>
      </c>
      <c r="B44" t="s">
        <v>90</v>
      </c>
      <c r="C44" t="s">
        <v>91</v>
      </c>
      <c r="D44" t="s">
        <v>152</v>
      </c>
      <c r="E44" s="33" t="s">
        <v>64</v>
      </c>
      <c r="G44" t="s">
        <v>64</v>
      </c>
      <c r="H44" s="34">
        <v>45354</v>
      </c>
      <c r="I44" t="s">
        <v>49</v>
      </c>
      <c r="J44" t="s">
        <v>31</v>
      </c>
      <c r="K44" t="s">
        <v>32</v>
      </c>
      <c r="N44" t="s">
        <v>31</v>
      </c>
      <c r="O44" t="s">
        <v>33</v>
      </c>
      <c r="Q44">
        <v>0</v>
      </c>
      <c r="R44" s="34">
        <v>45352</v>
      </c>
      <c r="S44" t="s">
        <v>93</v>
      </c>
      <c r="T44" s="34">
        <v>45352</v>
      </c>
      <c r="U44" t="s">
        <v>94</v>
      </c>
      <c r="V44" s="35" t="s">
        <v>95</v>
      </c>
      <c r="W44" t="s">
        <v>96</v>
      </c>
      <c r="X44" t="s">
        <v>97</v>
      </c>
      <c r="Y44" t="s">
        <v>98</v>
      </c>
      <c r="Z44" t="s">
        <v>56</v>
      </c>
      <c r="AC44" t="s">
        <v>99</v>
      </c>
      <c r="AD44">
        <v>59</v>
      </c>
      <c r="AF44" s="34"/>
      <c r="AH44" t="s">
        <v>34</v>
      </c>
      <c r="AI44" t="s">
        <v>100</v>
      </c>
      <c r="AJ44" t="s">
        <v>51</v>
      </c>
      <c r="AK44">
        <f>COUNTIF(Fives[Upgraded By],Fives[[#This Row],[Upgraded By]])</f>
        <v>37</v>
      </c>
      <c r="AL44" t="str">
        <f>IF(Fives[[#This Row],[Split Credit]]="",Fives[[#This Row],[Upgraded By]],IF(ISNUMBER(FIND(Fives[[#This Row],[Upgraded By]],Fives[[#This Row],[Split Credit]])),Fives[[#This Row],[Split Credit]],Fives[[#This Row],[Upgraded By]]&amp;"; "&amp;Fives[[#This Row],[Split Credit]]))</f>
        <v>Ben MacShane</v>
      </c>
    </row>
    <row r="45" spans="1:38" x14ac:dyDescent="0.8">
      <c r="A45" t="s">
        <v>101</v>
      </c>
      <c r="B45" t="s">
        <v>102</v>
      </c>
      <c r="C45" t="s">
        <v>103</v>
      </c>
      <c r="D45" t="s">
        <v>153</v>
      </c>
      <c r="E45" s="36" t="s">
        <v>64</v>
      </c>
      <c r="G45" t="s">
        <v>64</v>
      </c>
      <c r="H45" s="34">
        <v>45354</v>
      </c>
      <c r="I45" t="s">
        <v>55</v>
      </c>
      <c r="J45" t="s">
        <v>31</v>
      </c>
      <c r="K45" t="s">
        <v>32</v>
      </c>
      <c r="N45" t="s">
        <v>31</v>
      </c>
      <c r="O45" t="s">
        <v>33</v>
      </c>
      <c r="Q45">
        <v>0</v>
      </c>
      <c r="R45" s="34">
        <v>45351</v>
      </c>
      <c r="S45" t="s">
        <v>105</v>
      </c>
      <c r="T45" s="34">
        <v>45351</v>
      </c>
      <c r="U45" t="s">
        <v>59</v>
      </c>
      <c r="V45" s="35" t="s">
        <v>106</v>
      </c>
      <c r="W45" t="s">
        <v>107</v>
      </c>
      <c r="X45" t="s">
        <v>108</v>
      </c>
      <c r="Y45" t="s">
        <v>109</v>
      </c>
      <c r="Z45" t="s">
        <v>58</v>
      </c>
      <c r="AC45" t="s">
        <v>110</v>
      </c>
      <c r="AD45">
        <v>104</v>
      </c>
      <c r="AF45" s="34"/>
      <c r="AH45" t="s">
        <v>34</v>
      </c>
      <c r="AI45" t="s">
        <v>111</v>
      </c>
      <c r="AJ45" t="s">
        <v>51</v>
      </c>
      <c r="AK45">
        <f>COUNTIF(Fives[Upgraded By],Fives[[#This Row],[Upgraded By]])</f>
        <v>37</v>
      </c>
      <c r="AL45" t="str">
        <f>IF(Fives[[#This Row],[Split Credit]]="",Fives[[#This Row],[Upgraded By]],IF(ISNUMBER(FIND(Fives[[#This Row],[Upgraded By]],Fives[[#This Row],[Split Credit]])),Fives[[#This Row],[Split Credit]],Fives[[#This Row],[Upgraded By]]&amp;"; "&amp;Fives[[#This Row],[Split Credit]]))</f>
        <v>Ben MacShane</v>
      </c>
    </row>
    <row r="46" spans="1:38" x14ac:dyDescent="0.8">
      <c r="A46" t="s">
        <v>60</v>
      </c>
      <c r="B46" t="s">
        <v>61</v>
      </c>
      <c r="C46" t="s">
        <v>62</v>
      </c>
      <c r="D46" t="s">
        <v>154</v>
      </c>
      <c r="E46" s="33" t="s">
        <v>64</v>
      </c>
      <c r="G46" t="s">
        <v>64</v>
      </c>
      <c r="H46" s="34">
        <v>45348</v>
      </c>
      <c r="I46" t="s">
        <v>55</v>
      </c>
      <c r="J46" t="s">
        <v>31</v>
      </c>
      <c r="K46" t="s">
        <v>32</v>
      </c>
      <c r="N46" t="s">
        <v>31</v>
      </c>
      <c r="O46" t="s">
        <v>33</v>
      </c>
      <c r="Q46">
        <v>0</v>
      </c>
      <c r="R46" s="34">
        <v>45348</v>
      </c>
      <c r="S46" t="s">
        <v>65</v>
      </c>
      <c r="T46" s="34">
        <v>45348</v>
      </c>
      <c r="U46" t="s">
        <v>66</v>
      </c>
      <c r="V46" s="35" t="s">
        <v>67</v>
      </c>
      <c r="W46" t="s">
        <v>68</v>
      </c>
      <c r="X46" t="s">
        <v>69</v>
      </c>
      <c r="Y46" t="s">
        <v>70</v>
      </c>
      <c r="Z46" t="s">
        <v>71</v>
      </c>
      <c r="AA46" t="s">
        <v>72</v>
      </c>
      <c r="AC46" t="s">
        <v>73</v>
      </c>
      <c r="AD46">
        <v>93</v>
      </c>
      <c r="AE46">
        <v>0</v>
      </c>
      <c r="AF46" s="34">
        <v>44593</v>
      </c>
      <c r="AG46">
        <v>400000</v>
      </c>
      <c r="AH46" t="s">
        <v>57</v>
      </c>
      <c r="AI46" t="s">
        <v>74</v>
      </c>
      <c r="AJ46" t="s">
        <v>51</v>
      </c>
      <c r="AK46">
        <f>COUNTIF(Fives[Upgraded By],Fives[[#This Row],[Upgraded By]])</f>
        <v>37</v>
      </c>
      <c r="AL46" t="str">
        <f>IF(Fives[[#This Row],[Split Credit]]="",Fives[[#This Row],[Upgraded By]],IF(ISNUMBER(FIND(Fives[[#This Row],[Upgraded By]],Fives[[#This Row],[Split Credit]])),Fives[[#This Row],[Split Credit]],Fives[[#This Row],[Upgraded By]]&amp;"; "&amp;Fives[[#This Row],[Split Credit]]))</f>
        <v>Ben MacShane</v>
      </c>
    </row>
    <row r="47" spans="1:38" x14ac:dyDescent="0.8">
      <c r="A47" t="s">
        <v>75</v>
      </c>
      <c r="B47" t="s">
        <v>76</v>
      </c>
      <c r="C47" t="s">
        <v>77</v>
      </c>
      <c r="D47" t="s">
        <v>155</v>
      </c>
      <c r="E47" s="33" t="s">
        <v>79</v>
      </c>
      <c r="G47" t="s">
        <v>64</v>
      </c>
      <c r="H47" s="34">
        <v>45350</v>
      </c>
      <c r="I47" t="s">
        <v>49</v>
      </c>
      <c r="J47" t="s">
        <v>31</v>
      </c>
      <c r="K47" t="s">
        <v>32</v>
      </c>
      <c r="N47" t="s">
        <v>31</v>
      </c>
      <c r="O47" t="s">
        <v>33</v>
      </c>
      <c r="Q47">
        <v>0</v>
      </c>
      <c r="R47" s="34">
        <v>45350</v>
      </c>
      <c r="S47" t="s">
        <v>80</v>
      </c>
      <c r="T47" s="34">
        <v>45350</v>
      </c>
      <c r="U47" t="s">
        <v>81</v>
      </c>
      <c r="V47" s="35" t="s">
        <v>82</v>
      </c>
      <c r="W47" t="s">
        <v>83</v>
      </c>
      <c r="X47" t="s">
        <v>84</v>
      </c>
      <c r="Y47" t="s">
        <v>85</v>
      </c>
      <c r="Z47" t="s">
        <v>86</v>
      </c>
      <c r="AC47" t="s">
        <v>87</v>
      </c>
      <c r="AD47">
        <v>109</v>
      </c>
      <c r="AF47" s="34"/>
      <c r="AH47" t="s">
        <v>34</v>
      </c>
      <c r="AI47" t="s">
        <v>88</v>
      </c>
      <c r="AJ47" t="s">
        <v>51</v>
      </c>
      <c r="AK47">
        <f>COUNTIF(Fives[Upgraded By],Fives[[#This Row],[Upgraded By]])</f>
        <v>37</v>
      </c>
      <c r="AL47" t="str">
        <f>IF(Fives[[#This Row],[Split Credit]]="",Fives[[#This Row],[Upgraded By]],IF(ISNUMBER(FIND(Fives[[#This Row],[Upgraded By]],Fives[[#This Row],[Split Credit]])),Fives[[#This Row],[Split Credit]],Fives[[#This Row],[Upgraded By]]&amp;"; "&amp;Fives[[#This Row],[Split Credit]]))</f>
        <v>Ben MacShane</v>
      </c>
    </row>
    <row r="48" spans="1:38" x14ac:dyDescent="0.8">
      <c r="A48" t="s">
        <v>89</v>
      </c>
      <c r="B48" t="s">
        <v>90</v>
      </c>
      <c r="C48" t="s">
        <v>91</v>
      </c>
      <c r="D48" t="s">
        <v>156</v>
      </c>
      <c r="E48" s="33" t="s">
        <v>64</v>
      </c>
      <c r="G48" t="s">
        <v>64</v>
      </c>
      <c r="H48" s="34">
        <v>45354</v>
      </c>
      <c r="I48" t="s">
        <v>49</v>
      </c>
      <c r="J48" t="s">
        <v>31</v>
      </c>
      <c r="K48" t="s">
        <v>32</v>
      </c>
      <c r="N48" t="s">
        <v>31</v>
      </c>
      <c r="O48" t="s">
        <v>33</v>
      </c>
      <c r="Q48">
        <v>0</v>
      </c>
      <c r="R48" s="34">
        <v>45352</v>
      </c>
      <c r="S48" t="s">
        <v>93</v>
      </c>
      <c r="T48" s="34">
        <v>45352</v>
      </c>
      <c r="U48" t="s">
        <v>94</v>
      </c>
      <c r="V48" s="35" t="s">
        <v>95</v>
      </c>
      <c r="W48" t="s">
        <v>96</v>
      </c>
      <c r="X48" t="s">
        <v>97</v>
      </c>
      <c r="Y48" t="s">
        <v>98</v>
      </c>
      <c r="Z48" t="s">
        <v>56</v>
      </c>
      <c r="AC48" t="s">
        <v>99</v>
      </c>
      <c r="AD48">
        <v>59</v>
      </c>
      <c r="AF48" s="34"/>
      <c r="AH48" t="s">
        <v>34</v>
      </c>
      <c r="AI48" t="s">
        <v>100</v>
      </c>
      <c r="AJ48" t="s">
        <v>51</v>
      </c>
      <c r="AK48">
        <f>COUNTIF(Fives[Upgraded By],Fives[[#This Row],[Upgraded By]])</f>
        <v>37</v>
      </c>
      <c r="AL48" t="str">
        <f>IF(Fives[[#This Row],[Split Credit]]="",Fives[[#This Row],[Upgraded By]],IF(ISNUMBER(FIND(Fives[[#This Row],[Upgraded By]],Fives[[#This Row],[Split Credit]])),Fives[[#This Row],[Split Credit]],Fives[[#This Row],[Upgraded By]]&amp;"; "&amp;Fives[[#This Row],[Split Credit]]))</f>
        <v>Ben MacShane</v>
      </c>
    </row>
    <row r="49" spans="1:38" x14ac:dyDescent="0.8">
      <c r="A49" t="s">
        <v>101</v>
      </c>
      <c r="B49" t="s">
        <v>102</v>
      </c>
      <c r="C49" t="s">
        <v>103</v>
      </c>
      <c r="D49" t="s">
        <v>157</v>
      </c>
      <c r="E49" s="36" t="s">
        <v>64</v>
      </c>
      <c r="G49" t="s">
        <v>64</v>
      </c>
      <c r="H49" s="34">
        <v>45354</v>
      </c>
      <c r="I49" t="s">
        <v>55</v>
      </c>
      <c r="J49" t="s">
        <v>31</v>
      </c>
      <c r="K49" t="s">
        <v>32</v>
      </c>
      <c r="N49" t="s">
        <v>31</v>
      </c>
      <c r="O49" t="s">
        <v>33</v>
      </c>
      <c r="Q49">
        <v>0</v>
      </c>
      <c r="R49" s="34">
        <v>45351</v>
      </c>
      <c r="S49" t="s">
        <v>105</v>
      </c>
      <c r="T49" s="34">
        <v>45351</v>
      </c>
      <c r="U49" t="s">
        <v>59</v>
      </c>
      <c r="V49" s="35" t="s">
        <v>106</v>
      </c>
      <c r="W49" t="s">
        <v>107</v>
      </c>
      <c r="X49" t="s">
        <v>108</v>
      </c>
      <c r="Y49" t="s">
        <v>109</v>
      </c>
      <c r="Z49" t="s">
        <v>58</v>
      </c>
      <c r="AC49" t="s">
        <v>110</v>
      </c>
      <c r="AD49">
        <v>104</v>
      </c>
      <c r="AF49" s="34"/>
      <c r="AH49" t="s">
        <v>34</v>
      </c>
      <c r="AI49" t="s">
        <v>111</v>
      </c>
      <c r="AJ49" t="s">
        <v>51</v>
      </c>
      <c r="AK49">
        <f>COUNTIF(Fives[Upgraded By],Fives[[#This Row],[Upgraded By]])</f>
        <v>37</v>
      </c>
      <c r="AL49" t="str">
        <f>IF(Fives[[#This Row],[Split Credit]]="",Fives[[#This Row],[Upgraded By]],IF(ISNUMBER(FIND(Fives[[#This Row],[Upgraded By]],Fives[[#This Row],[Split Credit]])),Fives[[#This Row],[Split Credit]],Fives[[#This Row],[Upgraded By]]&amp;"; "&amp;Fives[[#This Row],[Split Credit]]))</f>
        <v>Ben MacShane</v>
      </c>
    </row>
  </sheetData>
  <pageMargins left="0.75" right="0.75" top="1" bottom="1" header="0.5" footer="0.5"/>
  <pageSetup orientation="portrait" horizontalDpi="0" verticalDpi="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F52D9-41A2-467E-A46C-752F80F59DFE}">
  <sheetPr codeName="Sheet31"/>
  <dimension ref="A1"/>
  <sheetViews>
    <sheetView workbookViewId="0">
      <selection activeCell="G20" sqref="G20"/>
    </sheetView>
  </sheetViews>
  <sheetFormatPr defaultRowHeight="16" x14ac:dyDescent="0.8"/>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52</vt:i4>
      </vt:variant>
      <vt:variant>
        <vt:lpstr>Named Ranges</vt:lpstr>
      </vt:variant>
      <vt:variant>
        <vt:i4>1</vt:i4>
      </vt:variant>
    </vt:vector>
  </HeadingPairs>
  <TitlesOfParts>
    <vt:vector size="53" baseType="lpstr">
      <vt:lpstr>Cover</vt:lpstr>
      <vt:lpstr>Smarty12</vt:lpstr>
      <vt:lpstr>HeroDevs12</vt:lpstr>
      <vt:lpstr>CCR12</vt:lpstr>
      <vt:lpstr>Delaget12</vt:lpstr>
      <vt:lpstr>Smarty11</vt:lpstr>
      <vt:lpstr>HeroDevs11</vt:lpstr>
      <vt:lpstr>CCR11</vt:lpstr>
      <vt:lpstr>Delaget11</vt:lpstr>
      <vt:lpstr>Smarty10</vt:lpstr>
      <vt:lpstr>HeroDevs10</vt:lpstr>
      <vt:lpstr>CCR10</vt:lpstr>
      <vt:lpstr>Delaget10</vt:lpstr>
      <vt:lpstr>Smarty9</vt:lpstr>
      <vt:lpstr>HeroDevs9</vt:lpstr>
      <vt:lpstr>CCR9</vt:lpstr>
      <vt:lpstr>Delaget9</vt:lpstr>
      <vt:lpstr>Smarty8</vt:lpstr>
      <vt:lpstr>HeroDevs8</vt:lpstr>
      <vt:lpstr>CCR8</vt:lpstr>
      <vt:lpstr>Delaget8</vt:lpstr>
      <vt:lpstr>Smarty7</vt:lpstr>
      <vt:lpstr>HeroDevs7</vt:lpstr>
      <vt:lpstr>CCR7</vt:lpstr>
      <vt:lpstr>Delaget7</vt:lpstr>
      <vt:lpstr>Smarty6</vt:lpstr>
      <vt:lpstr>HeroDevs6</vt:lpstr>
      <vt:lpstr>CCR6</vt:lpstr>
      <vt:lpstr>Delaget6</vt:lpstr>
      <vt:lpstr>Smarty5</vt:lpstr>
      <vt:lpstr>HeroDevs5</vt:lpstr>
      <vt:lpstr>CCR5</vt:lpstr>
      <vt:lpstr>Delaget5</vt:lpstr>
      <vt:lpstr>Smarty4</vt:lpstr>
      <vt:lpstr>HeroDevs4</vt:lpstr>
      <vt:lpstr>CCR4</vt:lpstr>
      <vt:lpstr>Delaget4</vt:lpstr>
      <vt:lpstr>Smarty3</vt:lpstr>
      <vt:lpstr>HeroDevs3</vt:lpstr>
      <vt:lpstr>CCR3</vt:lpstr>
      <vt:lpstr>Delaget3</vt:lpstr>
      <vt:lpstr>Smarty2</vt:lpstr>
      <vt:lpstr>HeroDevs2</vt:lpstr>
      <vt:lpstr>CCR2</vt:lpstr>
      <vt:lpstr>Delaget2</vt:lpstr>
      <vt:lpstr>Smarty</vt:lpstr>
      <vt:lpstr>HeroDevs</vt:lpstr>
      <vt:lpstr>CCR</vt:lpstr>
      <vt:lpstr>Delaget</vt:lpstr>
      <vt:lpstr>Main</vt:lpstr>
      <vt:lpstr>Data</vt:lpstr>
      <vt:lpstr>Sheet390</vt:lpstr>
      <vt:lpstr>Cover!Print_Area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mk</dc:creator>
  <cp:lastModifiedBy>Leo Gretzinger</cp:lastModifiedBy>
  <cp:lastPrinted>2023-09-20T22:12:16Z</cp:lastPrinted>
  <dcterms:created xsi:type="dcterms:W3CDTF">2023-09-20T20:22:48Z</dcterms:created>
  <dcterms:modified xsi:type="dcterms:W3CDTF">2024-03-26T18:56:44Z</dcterms:modified>
</cp:coreProperties>
</file>