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7.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leogr\OneDrive\Documents\Sagemount\Slides_Maker\"/>
    </mc:Choice>
  </mc:AlternateContent>
  <xr:revisionPtr revIDLastSave="0" documentId="13_ncr:1_{25DEC9FF-EDFF-4D39-AE24-92269C9313D7}" xr6:coauthVersionLast="47" xr6:coauthVersionMax="47" xr10:uidLastSave="{00000000-0000-0000-0000-000000000000}"/>
  <bookViews>
    <workbookView xWindow="9525" yWindow="0" windowWidth="9750" windowHeight="10155" xr2:uid="{00000000-000D-0000-FFFF-FFFF00000000}"/>
  </bookViews>
  <sheets>
    <sheet name="Cover" sheetId="4" r:id="rId1"/>
    <sheet name="Delaget" sheetId="59" r:id="rId2"/>
    <sheet name="Smarty" sheetId="58" r:id="rId3"/>
    <sheet name="HeroDevs" sheetId="57" r:id="rId4"/>
    <sheet name="CCR" sheetId="56" r:id="rId5"/>
    <sheet name="Main" sheetId="3" r:id="rId6"/>
    <sheet name="Data" sheetId="1" r:id="rId7"/>
  </sheets>
  <functionGroups builtInGroupCount="19"/>
  <definedNames>
    <definedName name="CIQWBGuid" hidden="1">"25295fb0-50ac-4404-a9d3-b1d6b5fb4d4b"</definedName>
    <definedName name="COMPANY_NAME">#REF!</definedName>
    <definedName name="CURRENCY">#REF!</definedName>
    <definedName name="DISPLAY_UNITS">#REF!</definedName>
    <definedName name="FISCAL_YEAR">#REF!</definedName>
    <definedName name="FISCAL_YEAR_END">#REF!</definedName>
    <definedName name="IQ_CH">110000</definedName>
    <definedName name="IQ_CQ">5000</definedName>
    <definedName name="IQ_CY">10000</definedName>
    <definedName name="IQ_DAILY">500000</definedName>
    <definedName name="IQ_DNTM" hidden="1">700000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MTD" hidden="1">800000</definedName>
    <definedName name="IQ_NAMES_REVISION_DATE_" hidden="1">43679.8080902778</definedName>
    <definedName name="IQ_NTM">6000</definedName>
    <definedName name="IQ_QTD" hidden="1">750000</definedName>
    <definedName name="IQ_TODAY" hidden="1">0</definedName>
    <definedName name="IQ_WEEK">50000</definedName>
    <definedName name="IQ_YTD">3000</definedName>
    <definedName name="IQ_YTDMONTH" hidden="1">130000</definedName>
    <definedName name="L3M_CURRENT_END">#REF!</definedName>
    <definedName name="L3M_PREV_END">#REF!</definedName>
    <definedName name="L3M_PREVYR_END">#REF!</definedName>
    <definedName name="L6M_CURRENT_END">#REF!</definedName>
    <definedName name="L6M_PREV_END">#REF!</definedName>
    <definedName name="L6M_PREVYR_END">#REF!</definedName>
    <definedName name="LTM_CURRENT_END">#REF!</definedName>
    <definedName name="LTM_PREV_END">#REF!</definedName>
    <definedName name="MONTH_CURRENT">#REF!</definedName>
    <definedName name="MONTH_CURRENT_END">#REF!</definedName>
    <definedName name="MONTH_PREV_END">#REF!</definedName>
    <definedName name="MONTH_PREVYR_END">#REF!</definedName>
    <definedName name="_xlnm.Print_Area" localSheetId="0">Cover!$B$2:$D$12</definedName>
    <definedName name="QTR_CURRENT_BEG">#REF!</definedName>
    <definedName name="QTR_CURRENT_END">#REF!</definedName>
    <definedName name="QTR_PREV_END">#REF!</definedName>
    <definedName name="QTR_PREVYR_END">#REF!</definedName>
    <definedName name="YEAR_CURRENT_BEG">#REF!</definedName>
    <definedName name="YEAR_CURRENT_END">#REF!</definedName>
    <definedName name="YEAR_PREV_END">#REF!</definedName>
    <definedName name="YTD_CURRENT_BEG">#REF!</definedName>
    <definedName name="YTD_CURRENT_END">#REF!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 i="59" l="1"/>
  <c r="M1" i="59" s="1"/>
  <c r="K1" i="58"/>
  <c r="M1" i="58" s="1"/>
  <c r="K1" i="57"/>
  <c r="M1" i="57" s="1"/>
  <c r="K1" i="56"/>
  <c r="M1" i="56" s="1"/>
  <c r="C13" i="4" a="1"/>
  <c r="C13" i="4" s="1"/>
  <c r="AK4" i="1"/>
  <c r="AK5" i="1"/>
  <c r="AL4" i="1"/>
  <c r="AL5" i="1"/>
  <c r="AK2" i="1"/>
  <c r="AL2" i="1"/>
  <c r="D13" i="4" s="1" a="1"/>
  <c r="D13" i="4" s="1"/>
  <c r="AK3" i="1"/>
  <c r="AL3" i="1"/>
  <c r="C14" i="4" l="1" a="1"/>
  <c r="C14" i="4" s="1"/>
  <c r="C15" i="4" a="1"/>
  <c r="C15" i="4" s="1"/>
  <c r="C16" i="4" a="1"/>
  <c r="C16" i="4" s="1"/>
  <c r="D16" i="4" a="1"/>
  <c r="D16" i="4" s="1"/>
  <c r="B9" i="4"/>
  <c r="D21" i="3" a="1"/>
  <c r="D21" i="3" s="1"/>
  <c r="D20" i="3" a="1"/>
  <c r="D20" i="3" s="1"/>
  <c r="D15" i="4" l="1" a="1"/>
  <c r="D15" i="4" s="1"/>
  <c r="D14" i="4" a="1"/>
  <c r="D14" i="4" s="1"/>
  <c r="G20" i="3" a="1"/>
  <c r="G20" i="3" s="1"/>
  <c r="G19" i="3" a="1"/>
  <c r="G19" i="3" s="1"/>
  <c r="G18" i="3" a="1"/>
  <c r="G18" i="3" s="1"/>
  <c r="G17" i="3" a="1"/>
  <c r="G17" i="3" s="1"/>
  <c r="D19" i="3" a="1"/>
  <c r="D19" i="3" s="1"/>
  <c r="D18" i="3" a="1"/>
  <c r="D18" i="3" s="1"/>
  <c r="D17" i="3" a="1"/>
  <c r="D17" i="3" s="1"/>
  <c r="G13" i="3" a="1"/>
  <c r="G13" i="3" s="1"/>
  <c r="G12" i="3" a="1"/>
  <c r="G12" i="3" s="1"/>
  <c r="G11" i="3" a="1"/>
  <c r="G11" i="3" s="1"/>
  <c r="D13" i="3" a="1"/>
  <c r="D13" i="3" s="1"/>
  <c r="C2" i="3" a="1"/>
  <c r="C2" i="3" s="1"/>
  <c r="C7" i="3" a="1"/>
  <c r="C7" i="3" s="1"/>
  <c r="D11" i="3" a="1"/>
  <c r="D11" i="3" s="1"/>
  <c r="D12" i="3" a="1"/>
  <c r="D12" i="3" s="1"/>
  <c r="K1" i="3"/>
  <c r="M1" i="3" s="1"/>
  <c r="C3" i="3" l="1" a="1"/>
  <c r="C3" i="3"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<sst xmlns="http://schemas.openxmlformats.org/spreadsheetml/2006/main" count="282" uniqueCount="116">
  <si>
    <t>Company ID (18 Char)</t>
  </si>
  <si>
    <t>FivesCreated ID (18)</t>
  </si>
  <si>
    <t>Five Created Name</t>
  </si>
  <si>
    <t>Company Name</t>
  </si>
  <si>
    <t>Edit Date</t>
  </si>
  <si>
    <t>Old Value</t>
  </si>
  <si>
    <t>New Value</t>
  </si>
  <si>
    <t>Gene Accepted</t>
  </si>
  <si>
    <t>Assign Senior: Full Name</t>
  </si>
  <si>
    <t>Gene's Comments</t>
  </si>
  <si>
    <t>Current Prospect Status</t>
  </si>
  <si>
    <t>Prospect Source</t>
  </si>
  <si>
    <t>Split Credit</t>
  </si>
  <si>
    <t>Exclude Commissions</t>
  </si>
  <si>
    <t>Last Meaningful Interaction Date</t>
  </si>
  <si>
    <t>Last Meaningful Interaction</t>
  </si>
  <si>
    <t>Last Activity</t>
  </si>
  <si>
    <t>Scale Notes</t>
  </si>
  <si>
    <t>Growth Notes</t>
  </si>
  <si>
    <t>Profitability Notes</t>
  </si>
  <si>
    <t>Revenue Model Notes</t>
  </si>
  <si>
    <t>Ownership Dynamic Notes</t>
  </si>
  <si>
    <t>Concentrations Notes</t>
  </si>
  <si>
    <t>Capital Structure Notes</t>
  </si>
  <si>
    <t>Invested Capital ($)</t>
  </si>
  <si>
    <t>Description</t>
  </si>
  <si>
    <t>Employees (SS)</t>
  </si>
  <si>
    <t>Latest Raised (SS)</t>
  </si>
  <si>
    <t>Latest Raised Date (SS)</t>
  </si>
  <si>
    <t>Total Raised (SS)</t>
  </si>
  <si>
    <t>Ownership (SS)</t>
  </si>
  <si>
    <t>5 - Interesting Now</t>
  </si>
  <si>
    <t>Undecided</t>
  </si>
  <si>
    <t>Proprietary</t>
  </si>
  <si>
    <t>Private</t>
  </si>
  <si>
    <t>Upgraded By</t>
  </si>
  <si>
    <t>Team</t>
  </si>
  <si>
    <t>Qualification Parameters</t>
  </si>
  <si>
    <t>Website</t>
  </si>
  <si>
    <t>Latest Raised Date</t>
  </si>
  <si>
    <t>Latest Raised</t>
  </si>
  <si>
    <t>Total Raised</t>
  </si>
  <si>
    <t>Employees</t>
  </si>
  <si>
    <t>Additional Data</t>
  </si>
  <si>
    <t>Company Owner &amp; Team</t>
  </si>
  <si>
    <t>Company Owner</t>
  </si>
  <si>
    <t>Upgraded by Combined</t>
  </si>
  <si>
    <t>Count by Upgraded</t>
  </si>
  <si>
    <t>#</t>
  </si>
  <si>
    <t>2 - Unknown: In Workflow</t>
  </si>
  <si>
    <t>HQ</t>
  </si>
  <si>
    <t>USA</t>
  </si>
  <si>
    <t>HQ Country</t>
  </si>
  <si>
    <t>1300 x 605</t>
  </si>
  <si>
    <t>Weekly Fives Review</t>
  </si>
  <si>
    <t>4 - Track for Future</t>
  </si>
  <si>
    <t>None</t>
  </si>
  <si>
    <t>Venture Capital</t>
  </si>
  <si>
    <t>none</t>
  </si>
  <si>
    <t>$30M ARR</t>
  </si>
  <si>
    <t>001d000001cl1huAAA</t>
  </si>
  <si>
    <t>a1RVR000000D70T2AS</t>
  </si>
  <si>
    <t>FD240226_04141</t>
  </si>
  <si>
    <t>Delaget</t>
  </si>
  <si>
    <t>Ben MacShane</t>
  </si>
  <si>
    <t>Follow-up Conversation: Jason Tober (Delaget) with Ben MacShane 2/26/2024 (7 days ago).</t>
  </si>
  <si>
    <t>$15M EOY '23A ARR</t>
  </si>
  <si>
    <t>~40% 2022 Growth</t>
  </si>
  <si>
    <t>CF+ in 1H '24</t>
  </si>
  <si>
    <t>Subscription, per restaurant per month</t>
  </si>
  <si>
    <t>One outside shareholder</t>
  </si>
  <si>
    <t>None known</t>
  </si>
  <si>
    <t>2014: Northern Pacific Group investment (Series A)</t>
  </si>
  <si>
    <t>Delaget, LLC is an information service, transaction processing, and outsourced services company. The company offers loss prevention, reporting, analytics, and payroll and accounting services. The company serves its clients across the country.</t>
  </si>
  <si>
    <t>https://www.delaget.com</t>
  </si>
  <si>
    <t>0010V00002C75f9QAB</t>
  </si>
  <si>
    <t>a1RVR000000Di852AC</t>
  </si>
  <si>
    <t>FD240228_04144</t>
  </si>
  <si>
    <t>CCR</t>
  </si>
  <si>
    <t>Jordan Walton</t>
  </si>
  <si>
    <t>First Meeting: Mark Bonham (CCR) with Ben MacShane 2/28/2024 (5 days ago).</t>
  </si>
  <si>
    <t>$50M ARR (biz unit: $30M media/linear, $10M private LTE, $4M Ag, $2M construction, $4M gen. MSP</t>
  </si>
  <si>
    <t>Media/Linear: 8%. Private LTE flat, Ag. NA, construction 100%</t>
  </si>
  <si>
    <t>$7-9M of EBITDA</t>
  </si>
  <si>
    <t>Recurring</t>
  </si>
  <si>
    <t>100p by Kelly family</t>
  </si>
  <si>
    <t>None more than 10%</t>
  </si>
  <si>
    <t>Circle Computer Resources, Inc. (CCR) is an information service company. It offers a range of IT services to businesses and specializes in enterprise-level managed internet and connectivity services, broadcast monitoring, and cloud content sourcing. The company provides its services throughout the country.</t>
  </si>
  <si>
    <t>https://ccr.net</t>
  </si>
  <si>
    <t>0018X000034Pm6qQAC</t>
  </si>
  <si>
    <t>a1RVR000000ERI52AO</t>
  </si>
  <si>
    <t>FD240304_04159</t>
  </si>
  <si>
    <t>HeroDevs</t>
  </si>
  <si>
    <t>First Meeting: Aaron Frost (HeroDevs) with Ben MacShane 3/1/2024 (3 days ago).</t>
  </si>
  <si>
    <t>$19M of product rev, $10M of services</t>
  </si>
  <si>
    <t>50%+</t>
  </si>
  <si>
    <t>$12m of EBITDA</t>
  </si>
  <si>
    <t>recurring product rev. and services</t>
  </si>
  <si>
    <t>$8M from Album, rest is founder</t>
  </si>
  <si>
    <t>HeroDevs, LLC is a software development company. Its products include NES Vue 2, NES Angular, AngularJS XLTS, NES Protractor, Endbridge. The company offers Web, Web Development, Architecture, Open Source, End-of-Life, Angular, Vue, Nx, React, Cypress, and AngularJs. It provides services to its clients and business consumers.</t>
  </si>
  <si>
    <t>https://www.herodevs.com</t>
  </si>
  <si>
    <t>0013w00002UGhAOAA1</t>
  </si>
  <si>
    <t>a1RVR000000ERht2AG</t>
  </si>
  <si>
    <t>FD240304_04160</t>
  </si>
  <si>
    <t>Smarty</t>
  </si>
  <si>
    <t>First Meeting: Rob Green (SmartyStreets) with Ben MacShane 2/29/2024 (4 days ago).</t>
  </si>
  <si>
    <t>30% YoY</t>
  </si>
  <si>
    <t>30% EBITDA</t>
  </si>
  <si>
    <t>subscription SaaS</t>
  </si>
  <si>
    <t>100p founder owned</t>
  </si>
  <si>
    <t>SmartyStreets, LLC is to operate as a software services company that provides address validation and geocoding services. It offers on-demand USPS address verification, validation, certification, and standardization services.</t>
  </si>
  <si>
    <t>https://www.smarty.com</t>
  </si>
  <si>
    <t>Reference for Leo: 1-20. Fill out 1-10 on left, then 11-20 on right columns. If &gt;20, split evenly between 2 columns</t>
  </si>
  <si>
    <t>Upgraded By Ben MacShane</t>
  </si>
  <si>
    <t xml:space="preserve">Ben MacShane </t>
  </si>
  <si>
    <t xml:space="preserve">Jordan Walton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</si>
</sst>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164" formatCode="#,##0.0_);\(#,##0.0\)"/>
    <numFmt numFmtId="165" formatCode="[$-409]mmmm\ d\,\ yyyy;@"/>
    <numFmt numFmtId="166" formatCode="&quot;$&quot;#,##0"/>
  </numFmts>
  <fonts count="35" x14ac:knownFonts="1">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
      <b/>
      <sz val="22"/>
      <color theme="1" tint="0.24994659260841701"/>
      <name val="Arial"/>
      <family val="2"/>
    </font>
    <font>
      <b/>
      <sz val="14"/>
      <color theme="1" tint="0.24994659260841701"/>
      <name val="Arial"/>
      <family val="2"/>
    </font>
    <font>
      <sz val="9"/>
      <color theme="1"/>
      <name val="Calibri"/>
      <family val="2"/>
      <scheme val="minor"/>
    </font>
    <font>
      <sz val="12"/>
      <color theme="1"/>
      <name val="Arial"/>
      <family val="2"/>
    </font>
    <font>
      <b/>
      <sz val="9"/>
      <color theme="1"/>
      <name val="Calibri"/>
      <family val="2"/>
      <scheme val="minor"/>
    </font>
    <font>
      <b/>
      <sz val="18"/>
      <color theme="1" tint="0.24994659260841701"/>
      <name val="Arial"/>
      <family val="2"/>
    </font>
    <font>
      <b/>
      <sz val="28"/>
      <color theme="1" tint="0.24994659260841701"/>
      <name val="Arial"/>
      <family val="2"/>
    </font>
    <font>
      <sz val="16"/>
      <color theme="1"/>
      <name val="Arial"/>
      <family val="2"/>
    </font>
    <font>
      <b/>
      <sz val="16"/>
      <color theme="1"/>
      <name val="Calibri"/>
      <family val="2"/>
      <scheme val="minor"/>
    </font>
    <font>
      <sz val="16"/>
      <color theme="1"/>
      <name val="Calibri"/>
      <family val="2"/>
      <scheme val="minor"/>
    </font>
    <font>
      <b/>
      <sz val="16"/>
      <color theme="0"/>
      <name val="Calibri"/>
      <family val="2"/>
      <scheme val="minor"/>
    </font>
    <font>
      <sz val="21"/>
      <color theme="1" tint="0.24994659260841701"/>
      <name val="Arial"/>
      <family val="2"/>
    </font>
    <font>
      <b/>
      <sz val="15"/>
      <color theme="1"/>
      <name val="Arial"/>
      <family val="2"/>
    </font>
    <font>
      <sz val="15"/>
      <color theme="1"/>
      <name val="Arial"/>
      <family val="2"/>
    </font>
    <font>
      <sz val="12"/>
      <color rgb="FF000000"/>
      <name val="Calibri"/>
      <family val="2"/>
    </font>
    <font>
      <sz val="20"/>
      <color theme="1" tint="0.24994659260841701"/>
      <name val="Arial"/>
      <family val="2"/>
    </font>
    <font>
      <sz val="14"/>
      <color theme="1"/>
      <name val="Calibri"/>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8" tint="-0.499984740745262"/>
        <bgColor indexed="64"/>
      </patternFill>
    </fill>
    <fill>
      <patternFill patternType="solid">
        <fgColor theme="9" tint="0.79998168889431442"/>
        <bgColor indexed="64"/>
      </patternFill>
    </fill>
    <fill>
      <patternFill patternType="solid">
        <fgColor theme="5" tint="-0.249977111117893"/>
        <bgColor indexed="64"/>
      </patternFill>
    </fill>
    <fill>
      <patternFill patternType="solid">
        <fgColor theme="7" tint="0.79998168889431442"/>
        <bgColor indexed="64"/>
      </patternFill>
    </fill>
  </fills>
  <borders count="18">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style="thick">
        <color indexed="64"/>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style="medium">
        <color theme="0"/>
      </right>
      <top/>
      <bottom/>
      <diagonal/>
    </border>
    <border>
      <left style="medium">
        <color theme="0"/>
      </left>
      <right style="medium">
        <color theme="0"/>
      </right>
      <top/>
      <bottom/>
      <diagonal/>
    </border>
    <border>
      <left style="medium">
        <color theme="0"/>
      </left>
      <right/>
      <top/>
      <bottom/>
      <diagonal/>
    </border>
  </borders>
  <cellStyleXfs count="47">
    <xf numFmtId="0" fontId="0" fillId="0" borderId="0"/>
    <xf numFmtId="44"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xf numFmtId="0" fontId="19" fillId="0" borderId="0" applyNumberFormat="0" applyFill="0" applyBorder="0" applyProtection="0">
      <alignment vertical="top"/>
    </xf>
    <xf numFmtId="0" fontId="20" fillId="0" borderId="0"/>
    <xf numFmtId="9" fontId="1" fillId="0" borderId="0" applyFont="0" applyFill="0" applyBorder="0" applyAlignment="0" applyProtection="0"/>
  </cellStyleXfs>
  <cellXfs count="37">
    <xf numFmtId="0" fontId="0" fillId="0" borderId="0" xfId="0"/>
    <xf numFmtId="164" fontId="20" fillId="0" borderId="0" xfId="45" applyNumberFormat="1"/>
    <xf numFmtId="0" fontId="0" fillId="0" borderId="10" xfId="0" applyBorder="1"/>
    <xf numFmtId="0" fontId="21" fillId="0" borderId="10" xfId="0" applyFont="1" applyBorder="1"/>
    <xf numFmtId="164" fontId="0" fillId="0" borderId="11" xfId="0" applyNumberFormat="1" applyBorder="1"/>
    <xf numFmtId="0" fontId="16" fillId="0" borderId="0" xfId="0" applyFont="1"/>
    <xf numFmtId="164" fontId="22" fillId="0" borderId="0" xfId="45" applyNumberFormat="1" applyFont="1"/>
    <xf numFmtId="0" fontId="21" fillId="34" borderId="10" xfId="0" applyFont="1" applyFill="1" applyBorder="1"/>
    <xf numFmtId="0" fontId="21" fillId="0" borderId="10" xfId="0" applyFont="1" applyBorder="1" applyAlignment="1">
      <alignment wrapText="1"/>
    </xf>
    <xf numFmtId="164" fontId="23" fillId="0" borderId="11" xfId="44" applyNumberFormat="1" applyFont="1" applyBorder="1">
      <alignment vertical="top"/>
    </xf>
    <xf numFmtId="164" fontId="24" fillId="0" borderId="10" xfId="43" applyNumberFormat="1" applyFont="1" applyBorder="1"/>
    <xf numFmtId="164" fontId="24" fillId="0" borderId="0" xfId="43" applyNumberFormat="1" applyFont="1"/>
    <xf numFmtId="0" fontId="26" fillId="0" borderId="0" xfId="0" applyFont="1"/>
    <xf numFmtId="0" fontId="27" fillId="0" borderId="0" xfId="0" applyFont="1"/>
    <xf numFmtId="164" fontId="29" fillId="0" borderId="10" xfId="43" applyNumberFormat="1" applyFont="1" applyBorder="1"/>
    <xf numFmtId="0" fontId="30" fillId="0" borderId="10" xfId="0" applyFont="1" applyBorder="1" applyAlignment="1">
      <alignment horizontal="left" vertical="top"/>
    </xf>
    <xf numFmtId="0" fontId="31" fillId="0" borderId="10" xfId="0" applyFont="1" applyBorder="1" applyAlignment="1">
      <alignment horizontal="left" vertical="top" wrapText="1"/>
    </xf>
    <xf numFmtId="0" fontId="31" fillId="0" borderId="10" xfId="0" applyFont="1" applyBorder="1" applyAlignment="1">
      <alignment horizontal="left" vertical="top"/>
    </xf>
    <xf numFmtId="165" fontId="31" fillId="0" borderId="10" xfId="1" applyNumberFormat="1" applyFont="1" applyBorder="1" applyAlignment="1">
      <alignment horizontal="left" vertical="top" wrapText="1"/>
    </xf>
    <xf numFmtId="164" fontId="0" fillId="0" borderId="11" xfId="0" applyNumberFormat="1" applyBorder="1" applyAlignment="1">
      <alignment wrapText="1"/>
    </xf>
    <xf numFmtId="0" fontId="0" fillId="35" borderId="0" xfId="0" applyFill="1"/>
    <xf numFmtId="9" fontId="31" fillId="0" borderId="10" xfId="0" applyNumberFormat="1" applyFont="1" applyBorder="1" applyAlignment="1">
      <alignment horizontal="left" vertical="top" wrapText="1"/>
    </xf>
    <xf numFmtId="9" fontId="31" fillId="0" borderId="10" xfId="46" applyFont="1" applyBorder="1" applyAlignment="1">
      <alignment horizontal="left" vertical="top" wrapText="1"/>
    </xf>
    <xf numFmtId="0" fontId="21" fillId="36" borderId="10" xfId="0" applyFont="1" applyFill="1" applyBorder="1" applyAlignment="1">
      <alignment horizontal="right"/>
    </xf>
    <xf numFmtId="0" fontId="28" fillId="33" borderId="15" xfId="0" applyFont="1" applyFill="1" applyBorder="1" applyAlignment="1">
      <alignment horizontal="center" vertical="center"/>
    </xf>
    <xf numFmtId="0" fontId="28" fillId="33" borderId="16" xfId="0" applyFont="1" applyFill="1" applyBorder="1"/>
    <xf numFmtId="0" fontId="28" fillId="33" borderId="17" xfId="0" applyFont="1" applyFill="1" applyBorder="1"/>
    <xf numFmtId="166" fontId="31" fillId="0" borderId="10" xfId="1" applyNumberFormat="1" applyFont="1" applyBorder="1" applyAlignment="1">
      <alignment horizontal="left" vertical="top" wrapText="1"/>
    </xf>
    <xf numFmtId="0" fontId="31" fillId="0" borderId="10" xfId="0" applyFont="1" applyBorder="1"/>
    <xf numFmtId="0" fontId="30" fillId="0" borderId="10" xfId="0" applyFont="1" applyBorder="1"/>
    <xf numFmtId="14" fontId="33" fillId="0" borderId="0" xfId="44" applyNumberFormat="1" applyFont="1" applyFill="1">
      <alignment vertical="top"/>
    </xf>
    <xf numFmtId="14" fontId="0" fillId="0" borderId="0" xfId="0" applyNumberFormat="1"/>
    <xf numFmtId="164" fontId="34" fillId="0" borderId="0" xfId="45" applyNumberFormat="1" applyFont="1"/>
    <xf numFmtId="0" fontId="25" fillId="0" borderId="12" xfId="0" applyFont="1" applyBorder="1" applyAlignment="1">
      <alignment horizontal="left" vertical="top" wrapText="1"/>
    </xf>
    <xf numFmtId="0" fontId="0" fillId="0" borderId="13" xfId="0" applyBorder="1" applyAlignment="1">
      <alignment horizontal="left" vertical="top" wrapText="1"/>
    </xf>
    <xf numFmtId="0" fontId="0" fillId="0" borderId="14" xfId="0" applyBorder="1" applyAlignment="1">
      <alignment horizontal="left" vertical="top" wrapText="1"/>
    </xf>
    <xf numFmtId="14" fontId="25" fillId="0" borderId="12" xfId="0" applyNumberFormat="1" applyFont="1" applyBorder="1" applyAlignment="1">
      <alignment horizontal="left" vertical="top" wrapText="1"/>
    </xf>
  </cellXfs>
  <cellStyles count="47">
    <cellStyle name="_Heading" xfId="43" xr:uid="{00000000-0005-0000-0000-000000000000}"/>
    <cellStyle name="_SubHeading" xfId="44" xr:uid="{00000000-0005-0000-0000-000001000000}"/>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Currency" xfId="1" builtinId="4"/>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rmal 2" xfId="45" xr:uid="{00000000-0005-0000-0000-000028000000}"/>
    <cellStyle name="Note" xfId="16" builtinId="10" customBuiltin="1"/>
    <cellStyle name="Output" xfId="11" builtinId="21" customBuiltin="1"/>
    <cellStyle name="Percent" xfId="46" builtinId="5"/>
    <cellStyle name="Title" xfId="2" builtinId="15" customBuiltin="1"/>
    <cellStyle name="Total" xfId="18" builtinId="25" customBuiltin="1"/>
    <cellStyle name="Warning Text" xfId="15" builtinId="11" customBuiltin="1"/>
  </cellStyles>
  <dxfs count="39">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167" formatCode="m/d/yy"/>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13" formatCode="0%"/>
      <alignment horizontal="general" vertical="bottom" textRotation="0" wrapText="0" indent="0" justifyLastLine="0" shrinkToFit="0" readingOrder="0"/>
    </dxf>
    <dxf>
      <alignment horizontal="general" vertical="bottom" textRotation="0" wrapText="0" indent="0" justifyLastLine="0" shrinkToFit="0" readingOrder="0"/>
    </dxf>
    <dxf>
      <numFmt numFmtId="167" formatCode="m/d/yy"/>
      <alignment horizontal="general" vertical="bottom" textRotation="0" wrapText="0" indent="0" justifyLastLine="0" shrinkToFit="0" readingOrder="0"/>
    </dxf>
    <dxf>
      <alignment horizontal="general" vertical="bottom" textRotation="0" wrapText="0" indent="0" justifyLastLine="0" shrinkToFit="0" readingOrder="0"/>
    </dxf>
    <dxf>
      <numFmt numFmtId="167" formatCode="m/d/yy"/>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167" formatCode="m/d/yy"/>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none">
          <bgColor auto="1"/>
        </patternFill>
      </fill>
      <alignment horizontal="general" vertical="bottom" textRotation="0" wrapText="0" indent="0" justifyLastLine="0" shrinkToFit="0" readingOrder="0"/>
      <border diagonalUp="0" diagonalDown="0">
        <left/>
        <right/>
        <top style="thin">
          <color theme="1"/>
        </top>
        <bottom style="thin">
          <color theme="1"/>
        </bottom>
      </border>
    </dxf>
    <dxf>
      <fill>
        <patternFill patternType="none">
          <bgColor auto="1"/>
        </patternFill>
      </fil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399563</xdr:colOff>
      <xdr:row>1</xdr:row>
      <xdr:rowOff>58615</xdr:rowOff>
    </xdr:from>
    <xdr:to>
      <xdr:col>3</xdr:col>
      <xdr:colOff>2019301</xdr:colOff>
      <xdr:row>6</xdr:row>
      <xdr:rowOff>15743</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99563" y="439615"/>
          <a:ext cx="5286130" cy="104151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38100</xdr:colOff>
      <xdr:row>1</xdr:row>
      <xdr:rowOff>12700</xdr:rowOff>
    </xdr:from>
    <xdr:to>
      <xdr:col>1</xdr:col>
      <xdr:colOff>952500</xdr:colOff>
      <xdr:row>3</xdr:row>
      <xdr:rowOff>152179</xdr:rowOff>
    </xdr:to>
    <xdr:pic>
      <xdr:nvPicPr>
        <xdr:cNvPr id="2" name="Picture 1">
          <a:extLst>
            <a:ext uri="{FF2B5EF4-FFF2-40B4-BE49-F238E27FC236}">
              <a16:creationId xmlns:a16="http://schemas.microsoft.com/office/drawing/2014/main" id="{B3023643-04B0-48F4-9E9A-360CF12C466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3100" y="241300"/>
          <a:ext cx="914400" cy="920529"/>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730250</xdr:colOff>
          <xdr:row>1</xdr:row>
          <xdr:rowOff>163512</xdr:rowOff>
        </xdr:from>
        <xdr:to>
          <xdr:col>12</xdr:col>
          <xdr:colOff>203200</xdr:colOff>
          <xdr:row>2</xdr:row>
          <xdr:rowOff>100012</xdr:rowOff>
        </xdr:to>
        <xdr:sp macro="" textlink="">
          <xdr:nvSpPr>
            <xdr:cNvPr id="64513" name="Button 1" descr="Run" hidden="1">
              <a:extLst>
                <a:ext uri="{63B3BB69-23CF-44E3-9099-C40C66FF867C}">
                  <a14:compatExt spid="_x0000_s64513"/>
                </a:ext>
                <a:ext uri="{FF2B5EF4-FFF2-40B4-BE49-F238E27FC236}">
                  <a16:creationId xmlns:a16="http://schemas.microsoft.com/office/drawing/2014/main" id="{97CD77F1-356D-4EC6-9E31-451C486D6B4B}"/>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177800</xdr:colOff>
          <xdr:row>6</xdr:row>
          <xdr:rowOff>266700</xdr:rowOff>
        </xdr:from>
        <xdr:to>
          <xdr:col>13</xdr:col>
          <xdr:colOff>755650</xdr:colOff>
          <xdr:row>6</xdr:row>
          <xdr:rowOff>768350</xdr:rowOff>
        </xdr:to>
        <xdr:sp macro="" textlink="">
          <xdr:nvSpPr>
            <xdr:cNvPr id="64514" name="Button 2" hidden="1">
              <a:extLst>
                <a:ext uri="{63B3BB69-23CF-44E3-9099-C40C66FF867C}">
                  <a14:compatExt spid="_x0000_s64514"/>
                </a:ext>
                <a:ext uri="{FF2B5EF4-FFF2-40B4-BE49-F238E27FC236}">
                  <a16:creationId xmlns:a16="http://schemas.microsoft.com/office/drawing/2014/main" id="{D1D8C455-2B79-4DF3-9113-DA3CFACD0524}"/>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Button 2</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38100</xdr:colOff>
      <xdr:row>1</xdr:row>
      <xdr:rowOff>12700</xdr:rowOff>
    </xdr:from>
    <xdr:to>
      <xdr:col>1</xdr:col>
      <xdr:colOff>952500</xdr:colOff>
      <xdr:row>3</xdr:row>
      <xdr:rowOff>152179</xdr:rowOff>
    </xdr:to>
    <xdr:pic>
      <xdr:nvPicPr>
        <xdr:cNvPr id="2" name="Picture 1">
          <a:extLst>
            <a:ext uri="{FF2B5EF4-FFF2-40B4-BE49-F238E27FC236}">
              <a16:creationId xmlns:a16="http://schemas.microsoft.com/office/drawing/2014/main" id="{23298BE2-9CF6-417A-B787-D35CE9E327B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3100" y="241300"/>
          <a:ext cx="914400" cy="920529"/>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0</xdr:colOff>
          <xdr:row>1</xdr:row>
          <xdr:rowOff>203200</xdr:rowOff>
        </xdr:from>
        <xdr:to>
          <xdr:col>13</xdr:col>
          <xdr:colOff>12700</xdr:colOff>
          <xdr:row>2</xdr:row>
          <xdr:rowOff>139700</xdr:rowOff>
        </xdr:to>
        <xdr:sp macro="" textlink="">
          <xdr:nvSpPr>
            <xdr:cNvPr id="63489" name="Button 1" descr="Run" hidden="1">
              <a:extLst>
                <a:ext uri="{63B3BB69-23CF-44E3-9099-C40C66FF867C}">
                  <a14:compatExt spid="_x0000_s63489"/>
                </a:ext>
                <a:ext uri="{FF2B5EF4-FFF2-40B4-BE49-F238E27FC236}">
                  <a16:creationId xmlns:a16="http://schemas.microsoft.com/office/drawing/2014/main" id="{490DFAF0-5D0A-493E-88FA-5AD1A6F04CA4}"/>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304800</xdr:colOff>
          <xdr:row>6</xdr:row>
          <xdr:rowOff>276225</xdr:rowOff>
        </xdr:from>
        <xdr:to>
          <xdr:col>13</xdr:col>
          <xdr:colOff>819150</xdr:colOff>
          <xdr:row>6</xdr:row>
          <xdr:rowOff>777875</xdr:rowOff>
        </xdr:to>
        <xdr:sp macro="" textlink="">
          <xdr:nvSpPr>
            <xdr:cNvPr id="63490" name="Button 2" hidden="1">
              <a:extLst>
                <a:ext uri="{63B3BB69-23CF-44E3-9099-C40C66FF867C}">
                  <a14:compatExt spid="_x0000_s63490"/>
                </a:ext>
                <a:ext uri="{FF2B5EF4-FFF2-40B4-BE49-F238E27FC236}">
                  <a16:creationId xmlns:a16="http://schemas.microsoft.com/office/drawing/2014/main" id="{69335426-9F1C-4115-8C89-DD3B3E9C7D5A}"/>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Button 2</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38100</xdr:colOff>
      <xdr:row>1</xdr:row>
      <xdr:rowOff>12700</xdr:rowOff>
    </xdr:from>
    <xdr:to>
      <xdr:col>1</xdr:col>
      <xdr:colOff>952500</xdr:colOff>
      <xdr:row>3</xdr:row>
      <xdr:rowOff>152179</xdr:rowOff>
    </xdr:to>
    <xdr:pic>
      <xdr:nvPicPr>
        <xdr:cNvPr id="2" name="Picture 1">
          <a:extLst>
            <a:ext uri="{FF2B5EF4-FFF2-40B4-BE49-F238E27FC236}">
              <a16:creationId xmlns:a16="http://schemas.microsoft.com/office/drawing/2014/main" id="{A93362B5-F552-455F-AEF8-77D4A16E8D7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3100" y="241300"/>
          <a:ext cx="914400" cy="920529"/>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0</xdr:colOff>
          <xdr:row>1</xdr:row>
          <xdr:rowOff>203200</xdr:rowOff>
        </xdr:from>
        <xdr:to>
          <xdr:col>13</xdr:col>
          <xdr:colOff>12700</xdr:colOff>
          <xdr:row>2</xdr:row>
          <xdr:rowOff>139700</xdr:rowOff>
        </xdr:to>
        <xdr:sp macro="" textlink="">
          <xdr:nvSpPr>
            <xdr:cNvPr id="62465" name="Button 1" descr="Run" hidden="1">
              <a:extLst>
                <a:ext uri="{63B3BB69-23CF-44E3-9099-C40C66FF867C}">
                  <a14:compatExt spid="_x0000_s62465"/>
                </a:ext>
                <a:ext uri="{FF2B5EF4-FFF2-40B4-BE49-F238E27FC236}">
                  <a16:creationId xmlns:a16="http://schemas.microsoft.com/office/drawing/2014/main" id="{D00C10EB-B725-406A-8500-5E227AED3B5B}"/>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304800</xdr:colOff>
          <xdr:row>6</xdr:row>
          <xdr:rowOff>276225</xdr:rowOff>
        </xdr:from>
        <xdr:to>
          <xdr:col>13</xdr:col>
          <xdr:colOff>819150</xdr:colOff>
          <xdr:row>6</xdr:row>
          <xdr:rowOff>777875</xdr:rowOff>
        </xdr:to>
        <xdr:sp macro="" textlink="">
          <xdr:nvSpPr>
            <xdr:cNvPr id="62466" name="Button 2" hidden="1">
              <a:extLst>
                <a:ext uri="{63B3BB69-23CF-44E3-9099-C40C66FF867C}">
                  <a14:compatExt spid="_x0000_s62466"/>
                </a:ext>
                <a:ext uri="{FF2B5EF4-FFF2-40B4-BE49-F238E27FC236}">
                  <a16:creationId xmlns:a16="http://schemas.microsoft.com/office/drawing/2014/main" id="{7008CB49-E75C-4AED-83D5-B6C8D9243985}"/>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Button 2</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38100</xdr:colOff>
      <xdr:row>1</xdr:row>
      <xdr:rowOff>12700</xdr:rowOff>
    </xdr:from>
    <xdr:to>
      <xdr:col>1</xdr:col>
      <xdr:colOff>952500</xdr:colOff>
      <xdr:row>3</xdr:row>
      <xdr:rowOff>152179</xdr:rowOff>
    </xdr:to>
    <xdr:pic>
      <xdr:nvPicPr>
        <xdr:cNvPr id="2" name="Picture 1">
          <a:extLst>
            <a:ext uri="{FF2B5EF4-FFF2-40B4-BE49-F238E27FC236}">
              <a16:creationId xmlns:a16="http://schemas.microsoft.com/office/drawing/2014/main" id="{2313AA2B-C467-407C-B7F0-FD71BC1D1AB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3100" y="241300"/>
          <a:ext cx="914400" cy="920529"/>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0</xdr:colOff>
          <xdr:row>1</xdr:row>
          <xdr:rowOff>203200</xdr:rowOff>
        </xdr:from>
        <xdr:to>
          <xdr:col>13</xdr:col>
          <xdr:colOff>12700</xdr:colOff>
          <xdr:row>2</xdr:row>
          <xdr:rowOff>139700</xdr:rowOff>
        </xdr:to>
        <xdr:sp macro="" textlink="">
          <xdr:nvSpPr>
            <xdr:cNvPr id="61441" name="Button 1" descr="Run" hidden="1">
              <a:extLst>
                <a:ext uri="{63B3BB69-23CF-44E3-9099-C40C66FF867C}">
                  <a14:compatExt spid="_x0000_s61441"/>
                </a:ext>
                <a:ext uri="{FF2B5EF4-FFF2-40B4-BE49-F238E27FC236}">
                  <a16:creationId xmlns:a16="http://schemas.microsoft.com/office/drawing/2014/main" id="{85CD8C1B-282B-4B98-B9E8-4E8ADE94C0C1}"/>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304800</xdr:colOff>
          <xdr:row>6</xdr:row>
          <xdr:rowOff>276225</xdr:rowOff>
        </xdr:from>
        <xdr:to>
          <xdr:col>13</xdr:col>
          <xdr:colOff>819150</xdr:colOff>
          <xdr:row>6</xdr:row>
          <xdr:rowOff>777875</xdr:rowOff>
        </xdr:to>
        <xdr:sp macro="" textlink="">
          <xdr:nvSpPr>
            <xdr:cNvPr id="61442" name="Button 2" hidden="1">
              <a:extLst>
                <a:ext uri="{63B3BB69-23CF-44E3-9099-C40C66FF867C}">
                  <a14:compatExt spid="_x0000_s61442"/>
                </a:ext>
                <a:ext uri="{FF2B5EF4-FFF2-40B4-BE49-F238E27FC236}">
                  <a16:creationId xmlns:a16="http://schemas.microsoft.com/office/drawing/2014/main" id="{C8DF485A-8283-4485-A4A0-440B1791897D}"/>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Button 2</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xdr:col>
      <xdr:colOff>38100</xdr:colOff>
      <xdr:row>1</xdr:row>
      <xdr:rowOff>12700</xdr:rowOff>
    </xdr:from>
    <xdr:to>
      <xdr:col>1</xdr:col>
      <xdr:colOff>952500</xdr:colOff>
      <xdr:row>3</xdr:row>
      <xdr:rowOff>152179</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8600" y="215900"/>
          <a:ext cx="914400" cy="922972"/>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730250</xdr:colOff>
          <xdr:row>1</xdr:row>
          <xdr:rowOff>163512</xdr:rowOff>
        </xdr:from>
        <xdr:to>
          <xdr:col>12</xdr:col>
          <xdr:colOff>203200</xdr:colOff>
          <xdr:row>2</xdr:row>
          <xdr:rowOff>100012</xdr:rowOff>
        </xdr:to>
        <xdr:sp macro="" textlink="">
          <xdr:nvSpPr>
            <xdr:cNvPr id="3073" name="Button 1" descr="Run"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177800</xdr:colOff>
          <xdr:row>6</xdr:row>
          <xdr:rowOff>266700</xdr:rowOff>
        </xdr:from>
        <xdr:to>
          <xdr:col>13</xdr:col>
          <xdr:colOff>755650</xdr:colOff>
          <xdr:row>6</xdr:row>
          <xdr:rowOff>768350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Button 2</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38</xdr:col>
      <xdr:colOff>584200</xdr:colOff>
      <xdr:row>1</xdr:row>
      <xdr:rowOff>0</xdr:rowOff>
    </xdr:from>
    <xdr:to>
      <xdr:col>48</xdr:col>
      <xdr:colOff>25400</xdr:colOff>
      <xdr:row>5</xdr:row>
      <xdr:rowOff>188334</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41516300" y="977900"/>
          <a:ext cx="7772400" cy="1890134"/>
        </a:xfrm>
        <a:prstGeom prst="rect">
          <a:avLst/>
        </a:prstGeom>
      </xdr:spPr>
    </xdr:pic>
    <xdr:clientData/>
  </xdr:twoCellAnchor>
  <xdr:twoCellAnchor editAs="oneCell">
    <xdr:from>
      <xdr:col>38</xdr:col>
      <xdr:colOff>533400</xdr:colOff>
      <xdr:row>1</xdr:row>
      <xdr:rowOff>0</xdr:rowOff>
    </xdr:from>
    <xdr:to>
      <xdr:col>41</xdr:col>
      <xdr:colOff>614680</xdr:colOff>
      <xdr:row>4</xdr:row>
      <xdr:rowOff>0</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41465500" y="292100"/>
          <a:ext cx="2633980" cy="647700"/>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Fives" displayName="Fives" ref="A1:AL5" totalsRowShown="0" dataDxfId="38">
  <autoFilter ref="A1:AL5" xr:uid="{00000000-0009-0000-0100-000001000000}"/>
  <sortState xmlns:xlrd2="http://schemas.microsoft.com/office/spreadsheetml/2017/richdata2" ref="A2:AL5">
    <sortCondition descending="1" ref="AK2:AK5"/>
    <sortCondition ref="AL2:AL5"/>
    <sortCondition ref="H2:H5"/>
  </sortState>
  <tableColumns count="38">
    <tableColumn id="1" xr3:uid="{00000000-0010-0000-0000-000001000000}" name="Company ID (18 Char)" dataDxfId="37"/>
    <tableColumn id="2" xr3:uid="{00000000-0010-0000-0000-000002000000}" name="FivesCreated ID (18)" dataDxfId="36"/>
    <tableColumn id="3" xr3:uid="{00000000-0010-0000-0000-000003000000}" name="Five Created Name" dataDxfId="35"/>
    <tableColumn id="4" xr3:uid="{00000000-0010-0000-0000-000004000000}" name="Company Name" dataDxfId="34"/>
    <tableColumn id="35" xr3:uid="{00000000-0010-0000-0000-000023000000}" name="Company Owner" dataDxfId="33"/>
    <tableColumn id="33" xr3:uid="{00000000-0010-0000-0000-000021000000}" name="Team" dataDxfId="32"/>
    <tableColumn id="5" xr3:uid="{00000000-0010-0000-0000-000005000000}" name="Upgraded By" dataDxfId="31"/>
    <tableColumn id="6" xr3:uid="{00000000-0010-0000-0000-000006000000}" name="Edit Date" dataDxfId="30"/>
    <tableColumn id="7" xr3:uid="{00000000-0010-0000-0000-000007000000}" name="Old Value" dataDxfId="29"/>
    <tableColumn id="8" xr3:uid="{00000000-0010-0000-0000-000008000000}" name="New Value" dataDxfId="28"/>
    <tableColumn id="9" xr3:uid="{00000000-0010-0000-0000-000009000000}" name="Gene Accepted" dataDxfId="27"/>
    <tableColumn id="10" xr3:uid="{00000000-0010-0000-0000-00000A000000}" name="Assign Senior: Full Name" dataDxfId="26"/>
    <tableColumn id="11" xr3:uid="{00000000-0010-0000-0000-00000B000000}" name="Gene's Comments" dataDxfId="25"/>
    <tableColumn id="12" xr3:uid="{00000000-0010-0000-0000-00000C000000}" name="Current Prospect Status" dataDxfId="24"/>
    <tableColumn id="13" xr3:uid="{00000000-0010-0000-0000-00000D000000}" name="Prospect Source" dataDxfId="23"/>
    <tableColumn id="14" xr3:uid="{00000000-0010-0000-0000-00000E000000}" name="Split Credit" dataDxfId="22"/>
    <tableColumn id="15" xr3:uid="{00000000-0010-0000-0000-00000F000000}" name="Exclude Commissions" dataDxfId="21"/>
    <tableColumn id="16" xr3:uid="{00000000-0010-0000-0000-000010000000}" name="Last Meaningful Interaction Date" dataDxfId="20"/>
    <tableColumn id="17" xr3:uid="{00000000-0010-0000-0000-000011000000}" name="Last Meaningful Interaction" dataDxfId="19"/>
    <tableColumn id="18" xr3:uid="{00000000-0010-0000-0000-000012000000}" name="Last Activity" dataDxfId="18"/>
    <tableColumn id="19" xr3:uid="{00000000-0010-0000-0000-000013000000}" name="Scale Notes" dataDxfId="17"/>
    <tableColumn id="20" xr3:uid="{00000000-0010-0000-0000-000014000000}" name="Growth Notes" dataDxfId="16"/>
    <tableColumn id="21" xr3:uid="{00000000-0010-0000-0000-000015000000}" name="Profitability Notes" dataDxfId="15"/>
    <tableColumn id="22" xr3:uid="{00000000-0010-0000-0000-000016000000}" name="Revenue Model Notes" dataDxfId="14"/>
    <tableColumn id="23" xr3:uid="{00000000-0010-0000-0000-000017000000}" name="Ownership Dynamic Notes" dataDxfId="13"/>
    <tableColumn id="24" xr3:uid="{00000000-0010-0000-0000-000018000000}" name="Concentrations Notes" dataDxfId="12"/>
    <tableColumn id="25" xr3:uid="{00000000-0010-0000-0000-000019000000}" name="Capital Structure Notes" dataDxfId="11"/>
    <tableColumn id="26" xr3:uid="{00000000-0010-0000-0000-00001A000000}" name="Invested Capital ($)" dataDxfId="10"/>
    <tableColumn id="27" xr3:uid="{00000000-0010-0000-0000-00001B000000}" name="Description" dataDxfId="9"/>
    <tableColumn id="28" xr3:uid="{00000000-0010-0000-0000-00001C000000}" name="Employees (SS)" dataDxfId="8"/>
    <tableColumn id="29" xr3:uid="{00000000-0010-0000-0000-00001D000000}" name="Latest Raised (SS)" dataDxfId="7"/>
    <tableColumn id="30" xr3:uid="{00000000-0010-0000-0000-00001E000000}" name="Latest Raised Date (SS)" dataDxfId="6"/>
    <tableColumn id="31" xr3:uid="{00000000-0010-0000-0000-00001F000000}" name="Total Raised (SS)" dataDxfId="5"/>
    <tableColumn id="32" xr3:uid="{00000000-0010-0000-0000-000020000000}" name="Ownership (SS)" dataDxfId="4"/>
    <tableColumn id="34" xr3:uid="{00000000-0010-0000-0000-000022000000}" name="Website" dataDxfId="3"/>
    <tableColumn id="38" xr3:uid="{9280D4AC-C314-0F40-96A9-325E1158FB61}" name="HQ" dataDxfId="2"/>
    <tableColumn id="36" xr3:uid="{17CF8313-2E40-7E4B-A5CA-02C94CF909FA}" name="Count by Upgraded" dataDxfId="1">
      <calculatedColumnFormula>COUNTIF(Fives[Upgraded By],Fives[[#This Row],[Upgraded By]])</calculatedColumnFormula>
    </tableColumn>
    <tableColumn id="37" xr3:uid="{54A5F48F-9ECA-CB49-B713-C3FB79780F80}" name="Upgraded by Combined" dataDxfId="0">
      <calculatedColumnFormula>IF(Fives[[#This Row],[Split Credit]]="",Fives[[#This Row],[Upgraded By]],IF(ISNUMBER(FIND(Fives[[#This Row],[Upgraded By]],Fives[[#This Row],[Split Credit]])),Fives[[#This Row],[Split Credit]],Fives[[#This Row],[Upgraded By]]&amp;"; "&amp;Fives[[#This Row],[Split Credit]]))</calculatedColumnFormula>
    </tableColumn>
  </tableColumns>
  <tableStyleInfo name="TableStyleMedium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3.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B1:H31"/>
  <sheetViews>
    <sheetView showGridLines="0" tabSelected="1" topLeftCell="A6" zoomScaleNormal="100" workbookViewId="0">
      <selection activeCell="B13" sqref="B13"/>
    </sheetView>
  </sheetViews>
  <sheetFormatPr defaultColWidth="7.6640625" defaultRowHeight="12.25" x14ac:dyDescent="0.65"/>
  <cols>
    <col min="1" max="1" width="5.1640625" style="1" customWidth="1"/>
    <col min="2" max="2" width="5" style="6" customWidth="1"/>
    <col min="3" max="3" width="38" style="1" customWidth="1"/>
    <col min="4" max="4" width="56.6640625" style="1" customWidth="1"/>
    <col min="5" max="5" width="5.33203125" style="1" customWidth="1"/>
    <col min="6" max="6" width="5" style="1" customWidth="1"/>
    <col min="7" max="7" width="45" style="1" customWidth="1"/>
    <col min="8" max="8" width="39.33203125" style="1" customWidth="1"/>
    <col min="9" max="16384" width="7.6640625" style="1"/>
  </cols>
  <sheetData>
    <row r="1" spans="2:8" ht="30" customHeight="1" x14ac:dyDescent="0.65"/>
    <row r="6" spans="2:8" ht="36" customHeight="1" x14ac:dyDescent="0.65"/>
    <row r="7" spans="2:8" ht="13" customHeight="1" x14ac:dyDescent="0.65"/>
    <row r="8" spans="2:8" ht="35" x14ac:dyDescent="1.4">
      <c r="B8" s="11" t="s">
        <v>54</v>
      </c>
    </row>
    <row r="9" spans="2:8" ht="25" x14ac:dyDescent="0.65">
      <c r="B9" s="30" t="str">
        <f ca="1">"Week of "&amp;TEXT(TODAY(),"M/D/YYYY")</f>
        <v>Week of 3/15/2024</v>
      </c>
    </row>
    <row r="10" spans="2:8" ht="21" x14ac:dyDescent="1">
      <c r="B10" s="12"/>
      <c r="C10" s="13"/>
      <c r="D10" s="13"/>
    </row>
    <row r="11" spans="2:8" ht="16" x14ac:dyDescent="0.8">
      <c r="B11" s="5"/>
      <c r="C11"/>
    </row>
    <row r="12" spans="2:8" ht="21" x14ac:dyDescent="1">
      <c r="B12" s="24" t="s">
        <v>48</v>
      </c>
      <c r="C12" s="25" t="s">
        <v>3</v>
      </c>
      <c r="D12" s="26" t="s">
        <v>35</v>
      </c>
      <c r="F12" s="24" t="s">
        <v>48</v>
      </c>
      <c r="G12" s="25" t="s">
        <v>3</v>
      </c>
      <c r="H12" s="26" t="s">
        <v>35</v>
      </c>
    </row>
    <row r="13" spans="2:8" ht="21" x14ac:dyDescent="1">
      <c r="B13" s="12">
        <v>1</v>
      </c>
      <c r="C13" s="13" t="str" cm="1">
        <f t="array" ref="C13">IFERROR(INDEX(Fives[Company Name],B13,1),"")</f>
        <v>Delaget</v>
      </c>
      <c r="D13" s="13" t="str" cm="1">
        <f t="array" ref="D13">IFERROR(INDEX(Fives[Upgraded by Combined],B13,1),"")</f>
        <v>Ben MacShane</v>
      </c>
      <c r="F13" s="12"/>
      <c r="G13" s="13"/>
      <c r="H13" s="13"/>
    </row>
    <row r="14" spans="2:8" ht="21" x14ac:dyDescent="1">
      <c r="B14" s="12">
        <v>2</v>
      </c>
      <c r="C14" s="13" t="str" cm="1">
        <f t="array" ref="C14">IFERROR(INDEX(Fives[Company Name],B14,1),"")</f>
        <v>CCR</v>
      </c>
      <c r="D14" s="13" t="str" cm="1">
        <f t="array" ref="D14">IFERROR(INDEX(Fives[Upgraded by Combined],B14,1),"")</f>
        <v>Ben MacShane</v>
      </c>
      <c r="F14" s="12"/>
      <c r="G14" s="13"/>
      <c r="H14" s="13"/>
    </row>
    <row r="15" spans="2:8" ht="21" x14ac:dyDescent="1">
      <c r="B15" s="12">
        <v>3</v>
      </c>
      <c r="C15" s="13" t="str" cm="1">
        <f t="array" ref="C15">IFERROR(INDEX(Fives[Company Name],B15,1),"")</f>
        <v>HeroDevs</v>
      </c>
      <c r="D15" s="13" t="str" cm="1">
        <f t="array" ref="D15">IFERROR(INDEX(Fives[Upgraded by Combined],B15,1),"")</f>
        <v>Ben MacShane</v>
      </c>
      <c r="F15" s="12"/>
      <c r="G15" s="13"/>
      <c r="H15" s="13"/>
    </row>
    <row r="16" spans="2:8" ht="21" x14ac:dyDescent="1">
      <c r="B16" s="12">
        <v>4</v>
      </c>
      <c r="C16" s="13" t="str" cm="1">
        <f t="array" ref="C16">IFERROR(INDEX(Fives[Company Name],B16,1),"")</f>
        <v>Smarty</v>
      </c>
      <c r="D16" s="13" t="str" cm="1">
        <f t="array" ref="D16">IFERROR(INDEX(Fives[Upgraded by Combined],B16,1),"")</f>
        <v>Ben MacShane</v>
      </c>
      <c r="F16" s="12"/>
      <c r="G16" s="13"/>
      <c r="H16" s="13"/>
    </row>
    <row r="17" spans="2:8" ht="21" x14ac:dyDescent="1">
      <c r="B17" s="12"/>
      <c r="C17" s="13"/>
      <c r="D17" s="13"/>
      <c r="F17" s="12"/>
      <c r="G17" s="13"/>
      <c r="H17" s="13"/>
    </row>
    <row r="18" spans="2:8" ht="21" x14ac:dyDescent="1">
      <c r="B18" s="12"/>
      <c r="C18" s="13"/>
      <c r="D18" s="13"/>
      <c r="F18" s="12"/>
      <c r="G18" s="13"/>
      <c r="H18" s="13"/>
    </row>
    <row r="19" spans="2:8" ht="21" x14ac:dyDescent="1">
      <c r="B19" s="12"/>
      <c r="C19" s="13"/>
      <c r="D19" s="13"/>
      <c r="F19" s="12"/>
      <c r="G19" s="13"/>
      <c r="H19" s="13"/>
    </row>
    <row r="20" spans="2:8" ht="21" x14ac:dyDescent="1">
      <c r="B20" s="12"/>
      <c r="C20" s="13"/>
      <c r="D20" s="13"/>
      <c r="F20" s="12"/>
      <c r="G20" s="13"/>
      <c r="H20" s="13"/>
    </row>
    <row r="21" spans="2:8" ht="21" x14ac:dyDescent="1">
      <c r="B21" s="12"/>
      <c r="C21" s="13"/>
      <c r="D21" s="13"/>
      <c r="F21" s="12"/>
      <c r="G21" s="13"/>
      <c r="H21" s="13"/>
    </row>
    <row r="22" spans="2:8" ht="21" x14ac:dyDescent="1">
      <c r="B22" s="12"/>
      <c r="C22" s="13"/>
      <c r="D22" s="13"/>
      <c r="F22" s="12"/>
      <c r="G22" s="13"/>
      <c r="H22" s="13"/>
    </row>
    <row r="23" spans="2:8" ht="21" x14ac:dyDescent="1">
      <c r="B23" s="12"/>
      <c r="C23" s="13"/>
      <c r="D23" s="13"/>
      <c r="F23" s="12"/>
      <c r="G23" s="13"/>
      <c r="H23" s="13"/>
    </row>
    <row r="24" spans="2:8" ht="21" x14ac:dyDescent="1">
      <c r="B24" s="12"/>
      <c r="C24" s="13"/>
      <c r="D24" s="13"/>
      <c r="F24" s="12"/>
      <c r="G24" s="13"/>
      <c r="H24" s="13"/>
    </row>
    <row r="25" spans="2:8" ht="21" x14ac:dyDescent="1">
      <c r="B25" s="12"/>
      <c r="C25" s="13"/>
      <c r="D25" s="13"/>
    </row>
    <row r="26" spans="2:8" ht="21" x14ac:dyDescent="1">
      <c r="B26" s="12"/>
      <c r="C26" s="13"/>
      <c r="D26" s="13"/>
    </row>
    <row r="27" spans="2:8" ht="21" x14ac:dyDescent="1">
      <c r="B27" s="12"/>
      <c r="C27" s="13"/>
      <c r="D27" s="13"/>
    </row>
    <row r="28" spans="2:8" ht="21" x14ac:dyDescent="1">
      <c r="B28" s="12"/>
      <c r="C28" s="13"/>
      <c r="D28" s="13"/>
    </row>
    <row r="29" spans="2:8" ht="21" x14ac:dyDescent="1">
      <c r="B29" s="12"/>
    </row>
    <row r="30" spans="2:8" ht="21" x14ac:dyDescent="1">
      <c r="B30" s="12"/>
    </row>
    <row r="31" spans="2:8" ht="22" customHeight="1" x14ac:dyDescent="0.9">
      <c r="C31" s="32" t="s">
        <v>112</v>
      </c>
    </row>
  </sheetData>
  <sheetProtection sort="0" autoFilter="0"/>
  <dataConsolidate link="1"/>
  <pageMargins left="0.5" right="0.5" top="2.7" bottom="0.85" header="0.3" footer="0.3"/>
  <pageSetup fitToWidth="0" fitToHeight="0"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4A2026-19A7-4D67-ACF3-3FFB0984AF09}">
  <sheetPr codeName="Sheet8"/>
  <dimension ref="C1:ZX77"/>
  <sheetViews>
    <sheetView zoomScale="40" zoomScaleNormal="40" workbookViewId="0">
      <selection activeCell="C21" sqref="C21"/>
    </sheetView>
  </sheetViews>
  <sheetFormatPr defaultColWidth="10.83203125" defaultRowHeight="16" x14ac:dyDescent="0.8"/>
  <cols>
    <col min="1" max="1" width="8.33203125" style="3" customWidth="1"/>
    <col min="2" max="2" width="13" style="3" customWidth="1"/>
    <col min="3" max="3" width="35" style="3" customWidth="1"/>
    <col min="4" max="4" width="56" style="3" customWidth="1"/>
    <col min="5" max="5" width="4.1640625" style="3" customWidth="1"/>
    <col min="6" max="6" width="36.1640625" style="3" bestFit="1" customWidth="1"/>
    <col min="7" max="7" width="56" style="3" customWidth="1"/>
    <col min="8" max="8" width="6" style="3" customWidth="1"/>
    <col min="9" max="9" width="10.83203125" style="3"/>
    <col min="10" max="10" width="4.33203125" style="3" customWidth="1"/>
    <col min="11" max="11" width="9" style="3" bestFit="1" customWidth="1"/>
    <col min="12" max="12" width="3.1640625" style="3" customWidth="1"/>
    <col min="13" max="13" width="3.33203125" style="2" customWidth="1"/>
    <col min="14" max="14" width="10.83203125" style="2"/>
    <col min="15" max="699" width="10.83203125" style="3"/>
    <col min="700" max="700" width="10.83203125" style="3" customWidth="1"/>
    <col min="701" max="16384" width="10.83203125" style="3"/>
  </cols>
  <sheetData>
    <row r="1" spans="3:700" ht="18" customHeight="1" x14ac:dyDescent="0.8">
      <c r="J1" s="7">
        <v>3</v>
      </c>
      <c r="K1" s="23" t="str">
        <f>"out of "&amp;COUNTIF(Fives[Company ID (18 Char)],"*")</f>
        <v>out of 4</v>
      </c>
      <c r="M1" s="3">
        <f>IF(J1+1&lt;=K1,J1+1,"DONE")</f>
        <v>4</v>
      </c>
      <c r="N1" s="3"/>
      <c r="O1" t="s">
        <v>53</v>
      </c>
      <c r="ZX1" s="8"/>
    </row>
    <row r="2" spans="3:700" ht="35" x14ac:dyDescent="1.4">
      <c r="C2" s="10" t="s">
        <v>63</v>
      </c>
      <c r="M2" s="3"/>
      <c r="N2" s="3"/>
    </row>
    <row r="3" spans="3:700" ht="26.5" x14ac:dyDescent="1.1000000000000001">
      <c r="C3" s="14" t="s">
        <v>113</v>
      </c>
      <c r="M3" s="3"/>
      <c r="N3" s="3"/>
    </row>
    <row r="4" spans="3:700" ht="16" customHeight="1" x14ac:dyDescent="0.65">
      <c r="M4" s="3"/>
      <c r="N4" s="3"/>
    </row>
    <row r="5" spans="3:700" ht="23.75" thickBot="1" x14ac:dyDescent="0.95">
      <c r="C5" s="9" t="s">
        <v>25</v>
      </c>
      <c r="D5" s="4"/>
      <c r="E5" s="4"/>
      <c r="F5" s="4"/>
      <c r="G5" s="4"/>
      <c r="M5" s="3"/>
      <c r="N5" s="3"/>
    </row>
    <row r="6" spans="3:700" ht="12" customHeight="1" thickTop="1" x14ac:dyDescent="0.65">
      <c r="M6" s="3"/>
      <c r="N6" s="3"/>
    </row>
    <row r="7" spans="3:700" ht="63" customHeight="1" x14ac:dyDescent="0.65">
      <c r="C7" s="33" t="s">
        <v>73</v>
      </c>
      <c r="D7" s="34"/>
      <c r="E7" s="34"/>
      <c r="F7" s="34"/>
      <c r="G7" s="35"/>
      <c r="M7" s="3"/>
      <c r="N7" s="3"/>
    </row>
    <row r="8" spans="3:700" ht="15.25" x14ac:dyDescent="0.65">
      <c r="M8" s="3"/>
      <c r="N8" s="3"/>
    </row>
    <row r="9" spans="3:700" ht="23.75" thickBot="1" x14ac:dyDescent="0.95">
      <c r="C9" s="9" t="s">
        <v>37</v>
      </c>
      <c r="D9" s="4"/>
      <c r="E9" s="4"/>
      <c r="F9" s="4"/>
      <c r="G9" s="4"/>
      <c r="M9" s="3"/>
      <c r="N9" s="3"/>
    </row>
    <row r="10" spans="3:700" ht="12" customHeight="1" thickTop="1" x14ac:dyDescent="0.65">
      <c r="M10" s="3"/>
      <c r="N10" s="3"/>
    </row>
    <row r="11" spans="3:700" ht="19.25" x14ac:dyDescent="0.65">
      <c r="C11" s="15" t="s">
        <v>17</v>
      </c>
      <c r="D11" s="16" t="s">
        <v>66</v>
      </c>
      <c r="E11" s="17"/>
      <c r="F11" s="15" t="s">
        <v>20</v>
      </c>
      <c r="G11" s="16" t="s">
        <v>69</v>
      </c>
      <c r="M11" s="3"/>
      <c r="N11" s="3"/>
    </row>
    <row r="12" spans="3:700" ht="19.25" x14ac:dyDescent="0.65">
      <c r="C12" s="15" t="s">
        <v>18</v>
      </c>
      <c r="D12" s="21" t="s">
        <v>67</v>
      </c>
      <c r="E12" s="17"/>
      <c r="F12" s="15" t="s">
        <v>21</v>
      </c>
      <c r="G12" s="16" t="s">
        <v>70</v>
      </c>
      <c r="M12" s="3"/>
      <c r="N12" s="3"/>
    </row>
    <row r="13" spans="3:700" ht="19.25" x14ac:dyDescent="0.65">
      <c r="C13" s="15" t="s">
        <v>19</v>
      </c>
      <c r="D13" s="22" t="s">
        <v>68</v>
      </c>
      <c r="E13" s="17"/>
      <c r="F13" s="15" t="s">
        <v>22</v>
      </c>
      <c r="G13" s="16" t="s">
        <v>71</v>
      </c>
      <c r="M13" s="3"/>
      <c r="N13" s="3"/>
    </row>
    <row r="14" spans="3:700" ht="12" customHeight="1" x14ac:dyDescent="0.65">
      <c r="M14" s="3"/>
      <c r="N14" s="3"/>
    </row>
    <row r="15" spans="3:700" ht="23.75" thickBot="1" x14ac:dyDescent="0.95">
      <c r="C15" s="9" t="s">
        <v>43</v>
      </c>
      <c r="D15" s="19"/>
      <c r="E15" s="4"/>
      <c r="F15" s="4"/>
      <c r="G15" s="19"/>
      <c r="M15" s="3"/>
      <c r="N15" s="3"/>
    </row>
    <row r="16" spans="3:700" thickTop="1" x14ac:dyDescent="0.65">
      <c r="D16" s="8"/>
      <c r="G16" s="8"/>
      <c r="M16" s="3"/>
      <c r="N16" s="3"/>
    </row>
    <row r="17" spans="3:14" ht="19.25" x14ac:dyDescent="0.65">
      <c r="C17" s="15" t="s">
        <v>44</v>
      </c>
      <c r="D17" s="16" t="s">
        <v>114</v>
      </c>
      <c r="E17" s="17"/>
      <c r="F17" s="15" t="s">
        <v>42</v>
      </c>
      <c r="G17" s="16">
        <v>93</v>
      </c>
      <c r="M17" s="3"/>
      <c r="N17" s="3"/>
    </row>
    <row r="18" spans="3:14" ht="19.25" x14ac:dyDescent="0.65">
      <c r="C18" s="15" t="s">
        <v>11</v>
      </c>
      <c r="D18" s="16" t="s">
        <v>33</v>
      </c>
      <c r="E18" s="17"/>
      <c r="F18" s="15" t="s">
        <v>39</v>
      </c>
      <c r="G18" s="18">
        <v>0</v>
      </c>
      <c r="M18" s="3"/>
      <c r="N18" s="3"/>
    </row>
    <row r="19" spans="3:14" ht="19.25" x14ac:dyDescent="0.65">
      <c r="C19" s="15" t="s">
        <v>12</v>
      </c>
      <c r="D19" s="16"/>
      <c r="E19" s="17"/>
      <c r="F19" s="15" t="s">
        <v>40</v>
      </c>
      <c r="G19" s="27">
        <v>44593</v>
      </c>
      <c r="M19" s="3"/>
      <c r="N19" s="3"/>
    </row>
    <row r="20" spans="3:14" ht="19.25" x14ac:dyDescent="0.65">
      <c r="C20" s="15" t="s">
        <v>38</v>
      </c>
      <c r="D20" s="16" t="s">
        <v>74</v>
      </c>
      <c r="E20" s="17"/>
      <c r="F20" s="15" t="s">
        <v>41</v>
      </c>
      <c r="G20" s="27">
        <v>400000</v>
      </c>
      <c r="M20" s="3"/>
      <c r="N20" s="3"/>
    </row>
    <row r="21" spans="3:14" ht="19.25" x14ac:dyDescent="0.85">
      <c r="C21" s="29" t="s">
        <v>52</v>
      </c>
      <c r="D21" s="28" t="s">
        <v>51</v>
      </c>
      <c r="M21" s="3"/>
      <c r="N21" s="3"/>
    </row>
    <row r="22" spans="3:14" ht="15.25" x14ac:dyDescent="0.65">
      <c r="M22" s="3"/>
      <c r="N22" s="3"/>
    </row>
    <row r="23" spans="3:14" ht="15.25" x14ac:dyDescent="0.65">
      <c r="M23" s="3"/>
      <c r="N23" s="3"/>
    </row>
    <row r="24" spans="3:14" ht="15.25" x14ac:dyDescent="0.65">
      <c r="M24" s="3"/>
      <c r="N24" s="3"/>
    </row>
    <row r="25" spans="3:14" ht="15.25" x14ac:dyDescent="0.65">
      <c r="M25" s="3"/>
      <c r="N25" s="3"/>
    </row>
    <row r="26" spans="3:14" ht="15.25" x14ac:dyDescent="0.65">
      <c r="M26" s="3"/>
      <c r="N26" s="3"/>
    </row>
    <row r="27" spans="3:14" ht="15.25" x14ac:dyDescent="0.65">
      <c r="M27" s="3"/>
      <c r="N27" s="3"/>
    </row>
    <row r="28" spans="3:14" ht="15.25" x14ac:dyDescent="0.65">
      <c r="M28" s="3"/>
      <c r="N28" s="3"/>
    </row>
    <row r="29" spans="3:14" ht="9" customHeight="1" x14ac:dyDescent="0.65">
      <c r="M29" s="3"/>
      <c r="N29" s="3"/>
    </row>
    <row r="30" spans="3:14" ht="18" customHeight="1" x14ac:dyDescent="0.65">
      <c r="M30" s="3"/>
      <c r="N30" s="3"/>
    </row>
    <row r="31" spans="3:14" ht="15.25" x14ac:dyDescent="0.65">
      <c r="M31" s="3"/>
      <c r="N31" s="3"/>
    </row>
    <row r="32" spans="3:14" ht="15.25" x14ac:dyDescent="0.65">
      <c r="M32" s="3"/>
      <c r="N32" s="3"/>
    </row>
    <row r="33" s="3" customFormat="1" ht="15.25" x14ac:dyDescent="0.65"/>
    <row r="34" s="3" customFormat="1" ht="15.25" x14ac:dyDescent="0.65"/>
    <row r="35" s="3" customFormat="1" ht="15.25" x14ac:dyDescent="0.65"/>
    <row r="36" s="3" customFormat="1" ht="15.25" x14ac:dyDescent="0.65"/>
    <row r="37" s="3" customFormat="1" ht="15.25" x14ac:dyDescent="0.65"/>
    <row r="38" s="3" customFormat="1" ht="15.25" x14ac:dyDescent="0.65"/>
    <row r="39" s="3" customFormat="1" ht="15.25" x14ac:dyDescent="0.65"/>
    <row r="40" s="3" customFormat="1" ht="15.25" x14ac:dyDescent="0.65"/>
    <row r="41" s="3" customFormat="1" ht="15.25" x14ac:dyDescent="0.65"/>
    <row r="42" s="3" customFormat="1" ht="15.25" x14ac:dyDescent="0.65"/>
    <row r="43" s="3" customFormat="1" ht="15.25" x14ac:dyDescent="0.65"/>
    <row r="44" s="3" customFormat="1" ht="15.25" x14ac:dyDescent="0.65"/>
    <row r="45" s="3" customFormat="1" ht="15.25" x14ac:dyDescent="0.65"/>
    <row r="46" s="3" customFormat="1" ht="15.25" x14ac:dyDescent="0.65"/>
    <row r="47" s="3" customFormat="1" ht="15.25" x14ac:dyDescent="0.65"/>
    <row r="48" s="3" customFormat="1" ht="15.25" x14ac:dyDescent="0.65"/>
    <row r="49" s="3" customFormat="1" ht="15.25" x14ac:dyDescent="0.65"/>
    <row r="50" s="3" customFormat="1" ht="15.25" x14ac:dyDescent="0.65"/>
    <row r="51" s="3" customFormat="1" ht="15.25" x14ac:dyDescent="0.65"/>
    <row r="52" s="3" customFormat="1" ht="15.25" x14ac:dyDescent="0.65"/>
    <row r="53" s="3" customFormat="1" ht="15.25" x14ac:dyDescent="0.65"/>
    <row r="54" s="3" customFormat="1" ht="15.25" x14ac:dyDescent="0.65"/>
    <row r="55" s="3" customFormat="1" ht="15.25" x14ac:dyDescent="0.65"/>
    <row r="56" s="3" customFormat="1" ht="15.25" x14ac:dyDescent="0.65"/>
    <row r="57" s="3" customFormat="1" ht="15.25" x14ac:dyDescent="0.65"/>
    <row r="58" s="3" customFormat="1" ht="15.25" x14ac:dyDescent="0.65"/>
    <row r="59" s="3" customFormat="1" ht="15.25" x14ac:dyDescent="0.65"/>
    <row r="60" s="3" customFormat="1" ht="15.25" x14ac:dyDescent="0.65"/>
    <row r="61" s="3" customFormat="1" ht="15.25" x14ac:dyDescent="0.65"/>
    <row r="62" s="3" customFormat="1" ht="15.25" x14ac:dyDescent="0.65"/>
    <row r="63" s="3" customFormat="1" ht="15.25" x14ac:dyDescent="0.65"/>
    <row r="64" s="3" customFormat="1" ht="15.25" x14ac:dyDescent="0.65"/>
    <row r="65" s="3" customFormat="1" ht="15.25" x14ac:dyDescent="0.65"/>
    <row r="66" s="3" customFormat="1" ht="15.25" x14ac:dyDescent="0.65"/>
    <row r="67" s="3" customFormat="1" ht="15.25" x14ac:dyDescent="0.65"/>
    <row r="68" s="3" customFormat="1" ht="15.25" x14ac:dyDescent="0.65"/>
    <row r="69" s="3" customFormat="1" ht="15.25" x14ac:dyDescent="0.65"/>
    <row r="70" s="3" customFormat="1" ht="15.25" x14ac:dyDescent="0.65"/>
    <row r="71" s="3" customFormat="1" ht="15.25" x14ac:dyDescent="0.65"/>
    <row r="72" s="3" customFormat="1" ht="15.25" x14ac:dyDescent="0.65"/>
    <row r="73" s="3" customFormat="1" ht="15.25" x14ac:dyDescent="0.65"/>
    <row r="74" s="3" customFormat="1" ht="15.25" x14ac:dyDescent="0.65"/>
    <row r="75" s="3" customFormat="1" ht="15.25" x14ac:dyDescent="0.65"/>
    <row r="76" s="3" customFormat="1" ht="15.25" x14ac:dyDescent="0.65"/>
    <row r="77" s="3" customFormat="1" ht="15.25" x14ac:dyDescent="0.65"/>
  </sheetData>
  <mergeCells count="1">
    <mergeCell ref="C7:G7"/>
  </mergeCell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FormatCopy" altText="Run">
                <anchor moveWithCells="1" sizeWithCells="1">
                  <from>
                    <xdr:col>8</xdr:col>
                    <xdr:colOff>730250</xdr:colOff>
                    <xdr:row>1</xdr:row>
                    <xdr:rowOff>161925</xdr:rowOff>
                  </from>
                  <to>
                    <xdr:col>12</xdr:col>
                    <xdr:colOff>203200</xdr:colOff>
                    <xdr:row>2</xdr:row>
                    <xdr:rowOff>98425</xdr:rowOff>
                  </to>
                </anchor>
              </controlPr>
            </control>
          </mc:Choice>
        </mc:AlternateContent>
        <mc:AlternateContent xmlns:mc="http://schemas.openxmlformats.org/markup-compatibility/2006">
          <mc:Choice Requires="x14">
            <control shapeId="64514" r:id="rId4" name="Button 2">
              <controlPr defaultSize="0" print="0" autoFill="0" autoPict="0" macro="[0]!FormatCopyAutomated">
                <anchor moveWithCells="1" sizeWithCells="1">
                  <from>
                    <xdr:col>10</xdr:col>
                    <xdr:colOff>177800</xdr:colOff>
                    <xdr:row>6</xdr:row>
                    <xdr:rowOff>266700</xdr:rowOff>
                  </from>
                  <to>
                    <xdr:col>13</xdr:col>
                    <xdr:colOff>755650</xdr:colOff>
                    <xdr:row>6</xdr:row>
                    <xdr:rowOff>768350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45D0B9-EC5D-491B-9F19-E97234C9A762}">
  <sheetPr codeName="Sheet7"/>
  <dimension ref="C1:ZX77"/>
  <sheetViews>
    <sheetView zoomScale="40" zoomScaleNormal="40" workbookViewId="0">
      <selection activeCell="F20" sqref="F20"/>
    </sheetView>
  </sheetViews>
  <sheetFormatPr defaultColWidth="10.83203125" defaultRowHeight="16" x14ac:dyDescent="0.8"/>
  <cols>
    <col min="1" max="1" width="8.33203125" style="3" customWidth="1"/>
    <col min="2" max="2" width="13" style="3" customWidth="1"/>
    <col min="3" max="3" width="35" style="3" customWidth="1"/>
    <col min="4" max="4" width="56" style="3" customWidth="1"/>
    <col min="5" max="5" width="4.1640625" style="3" customWidth="1"/>
    <col min="6" max="6" width="36.1640625" style="3" bestFit="1" customWidth="1"/>
    <col min="7" max="7" width="56" style="3" customWidth="1"/>
    <col min="8" max="8" width="6" style="3" customWidth="1"/>
    <col min="9" max="9" width="10.83203125" style="3"/>
    <col min="10" max="10" width="4.33203125" style="3" customWidth="1"/>
    <col min="11" max="11" width="9" style="3" bestFit="1" customWidth="1"/>
    <col min="12" max="12" width="3.1640625" style="3" customWidth="1"/>
    <col min="13" max="13" width="3.33203125" style="2" customWidth="1"/>
    <col min="14" max="14" width="10.83203125" style="2"/>
    <col min="15" max="699" width="10.83203125" style="3"/>
    <col min="700" max="700" width="10.83203125" style="3" customWidth="1"/>
    <col min="701" max="16384" width="10.83203125" style="3"/>
  </cols>
  <sheetData>
    <row r="1" spans="3:700" ht="18" customHeight="1" x14ac:dyDescent="0.8">
      <c r="J1" s="7">
        <v>3</v>
      </c>
      <c r="K1" s="23" t="str">
        <f>"out of "&amp;COUNTIF(Fives[Company ID (18 Char)],"*")</f>
        <v>out of 4</v>
      </c>
      <c r="M1" s="3">
        <f>IF(J1+1&lt;=K1,J1+1,"DONE")</f>
        <v>4</v>
      </c>
      <c r="N1" s="3"/>
      <c r="O1" t="s">
        <v>53</v>
      </c>
      <c r="ZX1" s="8"/>
    </row>
    <row r="2" spans="3:700" ht="35" x14ac:dyDescent="1.4">
      <c r="C2" s="10" t="s">
        <v>104</v>
      </c>
      <c r="M2" s="3"/>
      <c r="N2" s="3"/>
    </row>
    <row r="3" spans="3:700" ht="26.5" x14ac:dyDescent="1.1000000000000001">
      <c r="C3" s="14" t="s">
        <v>113</v>
      </c>
      <c r="M3" s="3"/>
      <c r="N3" s="3"/>
    </row>
    <row r="4" spans="3:700" ht="16" customHeight="1" x14ac:dyDescent="0.65">
      <c r="M4" s="3"/>
      <c r="N4" s="3"/>
    </row>
    <row r="5" spans="3:700" ht="23.75" thickBot="1" x14ac:dyDescent="0.95">
      <c r="C5" s="9" t="s">
        <v>25</v>
      </c>
      <c r="D5" s="4"/>
      <c r="E5" s="4"/>
      <c r="F5" s="4"/>
      <c r="G5" s="4"/>
      <c r="M5" s="3"/>
      <c r="N5" s="3"/>
    </row>
    <row r="6" spans="3:700" ht="12" customHeight="1" thickTop="1" x14ac:dyDescent="0.65">
      <c r="M6" s="3"/>
      <c r="N6" s="3"/>
    </row>
    <row r="7" spans="3:700" ht="63" customHeight="1" x14ac:dyDescent="0.65">
      <c r="C7" s="36" t="s">
        <v>110</v>
      </c>
      <c r="D7" s="34"/>
      <c r="E7" s="34"/>
      <c r="F7" s="34"/>
      <c r="G7" s="35"/>
      <c r="M7" s="3"/>
      <c r="N7" s="3"/>
    </row>
    <row r="8" spans="3:700" ht="15.25" x14ac:dyDescent="0.65">
      <c r="M8" s="3"/>
      <c r="N8" s="3"/>
    </row>
    <row r="9" spans="3:700" ht="23.75" thickBot="1" x14ac:dyDescent="0.95">
      <c r="C9" s="9" t="s">
        <v>37</v>
      </c>
      <c r="D9" s="4"/>
      <c r="E9" s="4"/>
      <c r="F9" s="4"/>
      <c r="G9" s="4"/>
      <c r="M9" s="3"/>
      <c r="N9" s="3"/>
    </row>
    <row r="10" spans="3:700" ht="12" customHeight="1" thickTop="1" x14ac:dyDescent="0.65">
      <c r="M10" s="3"/>
      <c r="N10" s="3"/>
    </row>
    <row r="11" spans="3:700" ht="19.25" x14ac:dyDescent="0.65">
      <c r="C11" s="15" t="s">
        <v>17</v>
      </c>
      <c r="D11" s="16" t="s">
        <v>59</v>
      </c>
      <c r="E11" s="17"/>
      <c r="F11" s="15" t="s">
        <v>20</v>
      </c>
      <c r="G11" s="16" t="s">
        <v>108</v>
      </c>
      <c r="M11" s="3"/>
      <c r="N11" s="3"/>
    </row>
    <row r="12" spans="3:700" ht="19.25" x14ac:dyDescent="0.65">
      <c r="C12" s="15" t="s">
        <v>18</v>
      </c>
      <c r="D12" s="21" t="s">
        <v>106</v>
      </c>
      <c r="E12" s="17"/>
      <c r="F12" s="15" t="s">
        <v>21</v>
      </c>
      <c r="G12" s="16" t="s">
        <v>109</v>
      </c>
      <c r="M12" s="3"/>
      <c r="N12" s="3"/>
    </row>
    <row r="13" spans="3:700" ht="19.25" x14ac:dyDescent="0.65">
      <c r="C13" s="15" t="s">
        <v>19</v>
      </c>
      <c r="D13" s="22" t="s">
        <v>107</v>
      </c>
      <c r="E13" s="17"/>
      <c r="F13" s="15" t="s">
        <v>22</v>
      </c>
      <c r="G13" s="16" t="s">
        <v>58</v>
      </c>
      <c r="M13" s="3"/>
      <c r="N13" s="3"/>
    </row>
    <row r="14" spans="3:700" ht="12" customHeight="1" x14ac:dyDescent="0.65">
      <c r="M14" s="3"/>
      <c r="N14" s="3"/>
    </row>
    <row r="15" spans="3:700" ht="23.75" thickBot="1" x14ac:dyDescent="0.95">
      <c r="C15" s="9" t="s">
        <v>43</v>
      </c>
      <c r="D15" s="19"/>
      <c r="E15" s="4"/>
      <c r="F15" s="4"/>
      <c r="G15" s="19"/>
      <c r="M15" s="3"/>
      <c r="N15" s="3"/>
    </row>
    <row r="16" spans="3:700" thickTop="1" x14ac:dyDescent="0.65">
      <c r="D16" s="8"/>
      <c r="G16" s="8"/>
      <c r="M16" s="3"/>
      <c r="N16" s="3"/>
    </row>
    <row r="17" spans="3:14" ht="19.25" x14ac:dyDescent="0.65">
      <c r="C17" s="15" t="s">
        <v>44</v>
      </c>
      <c r="D17" s="16" t="s">
        <v>114</v>
      </c>
      <c r="E17" s="17"/>
      <c r="F17" s="15" t="s">
        <v>42</v>
      </c>
      <c r="G17" s="16">
        <v>104</v>
      </c>
      <c r="M17" s="3"/>
      <c r="N17" s="3"/>
    </row>
    <row r="18" spans="3:14" ht="19.25" x14ac:dyDescent="0.65">
      <c r="C18" s="15" t="s">
        <v>11</v>
      </c>
      <c r="D18" s="16" t="s">
        <v>33</v>
      </c>
      <c r="E18" s="17"/>
      <c r="F18" s="15" t="s">
        <v>39</v>
      </c>
      <c r="G18" s="18"/>
      <c r="M18" s="3"/>
      <c r="N18" s="3"/>
    </row>
    <row r="19" spans="3:14" ht="19.25" x14ac:dyDescent="0.65">
      <c r="C19" s="15" t="s">
        <v>12</v>
      </c>
      <c r="D19" s="16"/>
      <c r="E19" s="17"/>
      <c r="F19" s="15" t="s">
        <v>40</v>
      </c>
      <c r="G19" s="27"/>
      <c r="M19" s="3"/>
      <c r="N19" s="3"/>
    </row>
    <row r="20" spans="3:14" ht="19.25" x14ac:dyDescent="0.65">
      <c r="C20" s="15" t="s">
        <v>38</v>
      </c>
      <c r="D20" s="16" t="s">
        <v>111</v>
      </c>
      <c r="E20" s="17"/>
      <c r="F20" s="15" t="s">
        <v>41</v>
      </c>
      <c r="G20" s="27"/>
      <c r="M20" s="3"/>
      <c r="N20" s="3"/>
    </row>
    <row r="21" spans="3:14" ht="19.25" x14ac:dyDescent="0.85">
      <c r="C21" s="29" t="s">
        <v>52</v>
      </c>
      <c r="D21" s="28" t="s">
        <v>51</v>
      </c>
      <c r="M21" s="3"/>
      <c r="N21" s="3"/>
    </row>
    <row r="22" spans="3:14" ht="15.25" x14ac:dyDescent="0.65">
      <c r="M22" s="3"/>
      <c r="N22" s="3"/>
    </row>
    <row r="23" spans="3:14" ht="15.25" x14ac:dyDescent="0.65">
      <c r="M23" s="3"/>
      <c r="N23" s="3"/>
    </row>
    <row r="24" spans="3:14" ht="15.25" x14ac:dyDescent="0.65">
      <c r="M24" s="3"/>
      <c r="N24" s="3"/>
    </row>
    <row r="25" spans="3:14" ht="15.25" x14ac:dyDescent="0.65">
      <c r="M25" s="3"/>
      <c r="N25" s="3"/>
    </row>
    <row r="26" spans="3:14" ht="15.25" x14ac:dyDescent="0.65">
      <c r="M26" s="3"/>
      <c r="N26" s="3"/>
    </row>
    <row r="27" spans="3:14" ht="15.25" x14ac:dyDescent="0.65">
      <c r="M27" s="3"/>
      <c r="N27" s="3"/>
    </row>
    <row r="28" spans="3:14" ht="15.25" x14ac:dyDescent="0.65">
      <c r="M28" s="3"/>
      <c r="N28" s="3"/>
    </row>
    <row r="29" spans="3:14" ht="9" customHeight="1" x14ac:dyDescent="0.65">
      <c r="M29" s="3"/>
      <c r="N29" s="3"/>
    </row>
    <row r="30" spans="3:14" ht="18" customHeight="1" x14ac:dyDescent="0.65">
      <c r="M30" s="3"/>
      <c r="N30" s="3"/>
    </row>
    <row r="31" spans="3:14" ht="15.25" x14ac:dyDescent="0.65">
      <c r="M31" s="3"/>
      <c r="N31" s="3"/>
    </row>
    <row r="32" spans="3:14" ht="15.25" x14ac:dyDescent="0.65">
      <c r="M32" s="3"/>
      <c r="N32" s="3"/>
    </row>
    <row r="33" s="3" customFormat="1" ht="15.25" x14ac:dyDescent="0.65"/>
    <row r="34" s="3" customFormat="1" ht="15.25" x14ac:dyDescent="0.65"/>
    <row r="35" s="3" customFormat="1" ht="15.25" x14ac:dyDescent="0.65"/>
    <row r="36" s="3" customFormat="1" ht="15.25" x14ac:dyDescent="0.65"/>
    <row r="37" s="3" customFormat="1" ht="15.25" x14ac:dyDescent="0.65"/>
    <row r="38" s="3" customFormat="1" ht="15.25" x14ac:dyDescent="0.65"/>
    <row r="39" s="3" customFormat="1" ht="15.25" x14ac:dyDescent="0.65"/>
    <row r="40" s="3" customFormat="1" ht="15.25" x14ac:dyDescent="0.65"/>
    <row r="41" s="3" customFormat="1" ht="15.25" x14ac:dyDescent="0.65"/>
    <row r="42" s="3" customFormat="1" ht="15.25" x14ac:dyDescent="0.65"/>
    <row r="43" s="3" customFormat="1" ht="15.25" x14ac:dyDescent="0.65"/>
    <row r="44" s="3" customFormat="1" ht="15.25" x14ac:dyDescent="0.65"/>
    <row r="45" s="3" customFormat="1" ht="15.25" x14ac:dyDescent="0.65"/>
    <row r="46" s="3" customFormat="1" ht="15.25" x14ac:dyDescent="0.65"/>
    <row r="47" s="3" customFormat="1" ht="15.25" x14ac:dyDescent="0.65"/>
    <row r="48" s="3" customFormat="1" ht="15.25" x14ac:dyDescent="0.65"/>
    <row r="49" s="3" customFormat="1" ht="15.25" x14ac:dyDescent="0.65"/>
    <row r="50" s="3" customFormat="1" ht="15.25" x14ac:dyDescent="0.65"/>
    <row r="51" s="3" customFormat="1" ht="15.25" x14ac:dyDescent="0.65"/>
    <row r="52" s="3" customFormat="1" ht="15.25" x14ac:dyDescent="0.65"/>
    <row r="53" s="3" customFormat="1" ht="15.25" x14ac:dyDescent="0.65"/>
    <row r="54" s="3" customFormat="1" ht="15.25" x14ac:dyDescent="0.65"/>
    <row r="55" s="3" customFormat="1" ht="15.25" x14ac:dyDescent="0.65"/>
    <row r="56" s="3" customFormat="1" ht="15.25" x14ac:dyDescent="0.65"/>
    <row r="57" s="3" customFormat="1" ht="15.25" x14ac:dyDescent="0.65"/>
    <row r="58" s="3" customFormat="1" ht="15.25" x14ac:dyDescent="0.65"/>
    <row r="59" s="3" customFormat="1" ht="15.25" x14ac:dyDescent="0.65"/>
    <row r="60" s="3" customFormat="1" ht="15.25" x14ac:dyDescent="0.65"/>
    <row r="61" s="3" customFormat="1" ht="15.25" x14ac:dyDescent="0.65"/>
    <row r="62" s="3" customFormat="1" ht="15.25" x14ac:dyDescent="0.65"/>
    <row r="63" s="3" customFormat="1" ht="15.25" x14ac:dyDescent="0.65"/>
    <row r="64" s="3" customFormat="1" ht="15.25" x14ac:dyDescent="0.65"/>
    <row r="65" s="3" customFormat="1" ht="15.25" x14ac:dyDescent="0.65"/>
    <row r="66" s="3" customFormat="1" ht="15.25" x14ac:dyDescent="0.65"/>
    <row r="67" s="3" customFormat="1" ht="15.25" x14ac:dyDescent="0.65"/>
    <row r="68" s="3" customFormat="1" ht="15.25" x14ac:dyDescent="0.65"/>
    <row r="69" s="3" customFormat="1" ht="15.25" x14ac:dyDescent="0.65"/>
    <row r="70" s="3" customFormat="1" ht="15.25" x14ac:dyDescent="0.65"/>
    <row r="71" s="3" customFormat="1" ht="15.25" x14ac:dyDescent="0.65"/>
    <row r="72" s="3" customFormat="1" ht="15.25" x14ac:dyDescent="0.65"/>
    <row r="73" s="3" customFormat="1" ht="15.25" x14ac:dyDescent="0.65"/>
    <row r="74" s="3" customFormat="1" ht="15.25" x14ac:dyDescent="0.65"/>
    <row r="75" s="3" customFormat="1" ht="15.25" x14ac:dyDescent="0.65"/>
    <row r="76" s="3" customFormat="1" ht="15.25" x14ac:dyDescent="0.65"/>
    <row r="77" s="3" customFormat="1" ht="15.25" x14ac:dyDescent="0.65"/>
  </sheetData>
  <mergeCells count="1">
    <mergeCell ref="C7:G7"/>
  </mergeCell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63489" r:id="rId3" name="Button 1">
              <controlPr defaultSize="0" print="0" autoFill="0" autoPict="0" macro="[0]!FormatCopy" altText="Run">
                <anchor moveWithCells="1" sizeWithCells="1">
                  <from>
                    <xdr:col>9</xdr:col>
                    <xdr:colOff>0</xdr:colOff>
                    <xdr:row>1</xdr:row>
                    <xdr:rowOff>203200</xdr:rowOff>
                  </from>
                  <to>
                    <xdr:col>13</xdr:col>
                    <xdr:colOff>12700</xdr:colOff>
                    <xdr:row>2</xdr:row>
                    <xdr:rowOff>139700</xdr:rowOff>
                  </to>
                </anchor>
              </controlPr>
            </control>
          </mc:Choice>
        </mc:AlternateContent>
        <mc:AlternateContent xmlns:mc="http://schemas.openxmlformats.org/markup-compatibility/2006">
          <mc:Choice Requires="x14">
            <control shapeId="63490" r:id="rId4" name="Button 2">
              <controlPr defaultSize="0" print="0" autoFill="0" autoPict="0" macro="[0]!FormatCopyAutomated">
                <anchor moveWithCells="1" sizeWithCells="1">
                  <from>
                    <xdr:col>10</xdr:col>
                    <xdr:colOff>304800</xdr:colOff>
                    <xdr:row>6</xdr:row>
                    <xdr:rowOff>276225</xdr:rowOff>
                  </from>
                  <to>
                    <xdr:col>13</xdr:col>
                    <xdr:colOff>819150</xdr:colOff>
                    <xdr:row>6</xdr:row>
                    <xdr:rowOff>777875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7B4627-2E7F-4BE6-82B9-FA971766F203}">
  <sheetPr codeName="Sheet6"/>
  <dimension ref="C1:ZX77"/>
  <sheetViews>
    <sheetView zoomScale="40" zoomScaleNormal="40" workbookViewId="0">
      <selection activeCell="F20" sqref="F20"/>
    </sheetView>
  </sheetViews>
  <sheetFormatPr defaultColWidth="10.83203125" defaultRowHeight="16" x14ac:dyDescent="0.8"/>
  <cols>
    <col min="1" max="1" width="8.33203125" style="3" customWidth="1"/>
    <col min="2" max="2" width="13" style="3" customWidth="1"/>
    <col min="3" max="3" width="35" style="3" customWidth="1"/>
    <col min="4" max="4" width="56" style="3" customWidth="1"/>
    <col min="5" max="5" width="4.1640625" style="3" customWidth="1"/>
    <col min="6" max="6" width="36.1640625" style="3" bestFit="1" customWidth="1"/>
    <col min="7" max="7" width="56" style="3" customWidth="1"/>
    <col min="8" max="8" width="6" style="3" customWidth="1"/>
    <col min="9" max="9" width="10.83203125" style="3"/>
    <col min="10" max="10" width="4.33203125" style="3" customWidth="1"/>
    <col min="11" max="11" width="9" style="3" bestFit="1" customWidth="1"/>
    <col min="12" max="12" width="3.1640625" style="3" customWidth="1"/>
    <col min="13" max="13" width="3.33203125" style="2" customWidth="1"/>
    <col min="14" max="14" width="10.83203125" style="2"/>
    <col min="15" max="699" width="10.83203125" style="3"/>
    <col min="700" max="700" width="10.83203125" style="3" customWidth="1"/>
    <col min="701" max="16384" width="10.83203125" style="3"/>
  </cols>
  <sheetData>
    <row r="1" spans="3:700" ht="18" customHeight="1" x14ac:dyDescent="0.8">
      <c r="J1" s="7">
        <v>3</v>
      </c>
      <c r="K1" s="23" t="str">
        <f>"out of "&amp;COUNTIF(Fives[Company ID (18 Char)],"*")</f>
        <v>out of 4</v>
      </c>
      <c r="M1" s="3">
        <f>IF(J1+1&lt;=K1,J1+1,"DONE")</f>
        <v>4</v>
      </c>
      <c r="N1" s="3"/>
      <c r="O1" t="s">
        <v>53</v>
      </c>
      <c r="ZX1" s="8"/>
    </row>
    <row r="2" spans="3:700" ht="35" x14ac:dyDescent="1.4">
      <c r="C2" s="10" t="s">
        <v>92</v>
      </c>
      <c r="M2" s="3"/>
      <c r="N2" s="3"/>
    </row>
    <row r="3" spans="3:700" ht="26.5" x14ac:dyDescent="1.1000000000000001">
      <c r="C3" s="14" t="s">
        <v>113</v>
      </c>
      <c r="M3" s="3"/>
      <c r="N3" s="3"/>
    </row>
    <row r="4" spans="3:700" ht="16" customHeight="1" x14ac:dyDescent="0.65">
      <c r="M4" s="3"/>
      <c r="N4" s="3"/>
    </row>
    <row r="5" spans="3:700" ht="23.75" thickBot="1" x14ac:dyDescent="0.95">
      <c r="C5" s="9" t="s">
        <v>25</v>
      </c>
      <c r="D5" s="4"/>
      <c r="E5" s="4"/>
      <c r="F5" s="4"/>
      <c r="G5" s="4"/>
      <c r="M5" s="3"/>
      <c r="N5" s="3"/>
    </row>
    <row r="6" spans="3:700" ht="12" customHeight="1" thickTop="1" x14ac:dyDescent="0.65">
      <c r="M6" s="3"/>
      <c r="N6" s="3"/>
    </row>
    <row r="7" spans="3:700" ht="63" customHeight="1" x14ac:dyDescent="0.65">
      <c r="C7" s="36" t="s">
        <v>99</v>
      </c>
      <c r="D7" s="34"/>
      <c r="E7" s="34"/>
      <c r="F7" s="34"/>
      <c r="G7" s="35"/>
      <c r="M7" s="3"/>
      <c r="N7" s="3"/>
    </row>
    <row r="8" spans="3:700" ht="15.25" x14ac:dyDescent="0.65">
      <c r="M8" s="3"/>
      <c r="N8" s="3"/>
    </row>
    <row r="9" spans="3:700" ht="23.75" thickBot="1" x14ac:dyDescent="0.95">
      <c r="C9" s="9" t="s">
        <v>37</v>
      </c>
      <c r="D9" s="4"/>
      <c r="E9" s="4"/>
      <c r="F9" s="4"/>
      <c r="G9" s="4"/>
      <c r="M9" s="3"/>
      <c r="N9" s="3"/>
    </row>
    <row r="10" spans="3:700" ht="12" customHeight="1" thickTop="1" x14ac:dyDescent="0.65">
      <c r="M10" s="3"/>
      <c r="N10" s="3"/>
    </row>
    <row r="11" spans="3:700" ht="19.25" x14ac:dyDescent="0.65">
      <c r="C11" s="15" t="s">
        <v>17</v>
      </c>
      <c r="D11" s="16" t="s">
        <v>94</v>
      </c>
      <c r="E11" s="17"/>
      <c r="F11" s="15" t="s">
        <v>20</v>
      </c>
      <c r="G11" s="16" t="s">
        <v>97</v>
      </c>
      <c r="M11" s="3"/>
      <c r="N11" s="3"/>
    </row>
    <row r="12" spans="3:700" ht="19.25" x14ac:dyDescent="0.65">
      <c r="C12" s="15" t="s">
        <v>18</v>
      </c>
      <c r="D12" s="21" t="s">
        <v>95</v>
      </c>
      <c r="E12" s="17"/>
      <c r="F12" s="15" t="s">
        <v>21</v>
      </c>
      <c r="G12" s="16" t="s">
        <v>98</v>
      </c>
      <c r="M12" s="3"/>
      <c r="N12" s="3"/>
    </row>
    <row r="13" spans="3:700" ht="19.25" x14ac:dyDescent="0.65">
      <c r="C13" s="15" t="s">
        <v>19</v>
      </c>
      <c r="D13" s="22" t="s">
        <v>96</v>
      </c>
      <c r="E13" s="17"/>
      <c r="F13" s="15" t="s">
        <v>22</v>
      </c>
      <c r="G13" s="16" t="s">
        <v>56</v>
      </c>
      <c r="M13" s="3"/>
      <c r="N13" s="3"/>
    </row>
    <row r="14" spans="3:700" ht="12" customHeight="1" x14ac:dyDescent="0.65">
      <c r="M14" s="3"/>
      <c r="N14" s="3"/>
    </row>
    <row r="15" spans="3:700" ht="23.75" thickBot="1" x14ac:dyDescent="0.95">
      <c r="C15" s="9" t="s">
        <v>43</v>
      </c>
      <c r="D15" s="19"/>
      <c r="E15" s="4"/>
      <c r="F15" s="4"/>
      <c r="G15" s="19"/>
      <c r="M15" s="3"/>
      <c r="N15" s="3"/>
    </row>
    <row r="16" spans="3:700" thickTop="1" x14ac:dyDescent="0.65">
      <c r="D16" s="8"/>
      <c r="G16" s="8"/>
      <c r="M16" s="3"/>
      <c r="N16" s="3"/>
    </row>
    <row r="17" spans="3:14" ht="19.25" x14ac:dyDescent="0.65">
      <c r="C17" s="15" t="s">
        <v>44</v>
      </c>
      <c r="D17" s="16" t="s">
        <v>114</v>
      </c>
      <c r="E17" s="17"/>
      <c r="F17" s="15" t="s">
        <v>42</v>
      </c>
      <c r="G17" s="16">
        <v>59</v>
      </c>
      <c r="M17" s="3"/>
      <c r="N17" s="3"/>
    </row>
    <row r="18" spans="3:14" ht="19.25" x14ac:dyDescent="0.65">
      <c r="C18" s="15" t="s">
        <v>11</v>
      </c>
      <c r="D18" s="16" t="s">
        <v>33</v>
      </c>
      <c r="E18" s="17"/>
      <c r="F18" s="15" t="s">
        <v>39</v>
      </c>
      <c r="G18" s="18"/>
      <c r="M18" s="3"/>
      <c r="N18" s="3"/>
    </row>
    <row r="19" spans="3:14" ht="19.25" x14ac:dyDescent="0.65">
      <c r="C19" s="15" t="s">
        <v>12</v>
      </c>
      <c r="D19" s="16"/>
      <c r="E19" s="17"/>
      <c r="F19" s="15" t="s">
        <v>40</v>
      </c>
      <c r="G19" s="27"/>
      <c r="M19" s="3"/>
      <c r="N19" s="3"/>
    </row>
    <row r="20" spans="3:14" ht="19.25" x14ac:dyDescent="0.65">
      <c r="C20" s="15" t="s">
        <v>38</v>
      </c>
      <c r="D20" s="16" t="s">
        <v>100</v>
      </c>
      <c r="E20" s="17"/>
      <c r="F20" s="15" t="s">
        <v>41</v>
      </c>
      <c r="G20" s="27"/>
      <c r="M20" s="3"/>
      <c r="N20" s="3"/>
    </row>
    <row r="21" spans="3:14" ht="19.25" x14ac:dyDescent="0.85">
      <c r="C21" s="29" t="s">
        <v>52</v>
      </c>
      <c r="D21" s="28" t="s">
        <v>51</v>
      </c>
      <c r="M21" s="3"/>
      <c r="N21" s="3"/>
    </row>
    <row r="22" spans="3:14" ht="15.25" x14ac:dyDescent="0.65">
      <c r="M22" s="3"/>
      <c r="N22" s="3"/>
    </row>
    <row r="23" spans="3:14" ht="15.25" x14ac:dyDescent="0.65">
      <c r="M23" s="3"/>
      <c r="N23" s="3"/>
    </row>
    <row r="24" spans="3:14" ht="15.25" x14ac:dyDescent="0.65">
      <c r="M24" s="3"/>
      <c r="N24" s="3"/>
    </row>
    <row r="25" spans="3:14" ht="15.25" x14ac:dyDescent="0.65">
      <c r="M25" s="3"/>
      <c r="N25" s="3"/>
    </row>
    <row r="26" spans="3:14" ht="15.25" x14ac:dyDescent="0.65">
      <c r="M26" s="3"/>
      <c r="N26" s="3"/>
    </row>
    <row r="27" spans="3:14" ht="15.25" x14ac:dyDescent="0.65">
      <c r="M27" s="3"/>
      <c r="N27" s="3"/>
    </row>
    <row r="28" spans="3:14" ht="15.25" x14ac:dyDescent="0.65">
      <c r="M28" s="3"/>
      <c r="N28" s="3"/>
    </row>
    <row r="29" spans="3:14" ht="9" customHeight="1" x14ac:dyDescent="0.65">
      <c r="M29" s="3"/>
      <c r="N29" s="3"/>
    </row>
    <row r="30" spans="3:14" ht="18" customHeight="1" x14ac:dyDescent="0.65">
      <c r="M30" s="3"/>
      <c r="N30" s="3"/>
    </row>
    <row r="31" spans="3:14" ht="15.25" x14ac:dyDescent="0.65">
      <c r="M31" s="3"/>
      <c r="N31" s="3"/>
    </row>
    <row r="32" spans="3:14" ht="15.25" x14ac:dyDescent="0.65">
      <c r="M32" s="3"/>
      <c r="N32" s="3"/>
    </row>
    <row r="33" s="3" customFormat="1" ht="15.25" x14ac:dyDescent="0.65"/>
    <row r="34" s="3" customFormat="1" ht="15.25" x14ac:dyDescent="0.65"/>
    <row r="35" s="3" customFormat="1" ht="15.25" x14ac:dyDescent="0.65"/>
    <row r="36" s="3" customFormat="1" ht="15.25" x14ac:dyDescent="0.65"/>
    <row r="37" s="3" customFormat="1" ht="15.25" x14ac:dyDescent="0.65"/>
    <row r="38" s="3" customFormat="1" ht="15.25" x14ac:dyDescent="0.65"/>
    <row r="39" s="3" customFormat="1" ht="15.25" x14ac:dyDescent="0.65"/>
    <row r="40" s="3" customFormat="1" ht="15.25" x14ac:dyDescent="0.65"/>
    <row r="41" s="3" customFormat="1" ht="15.25" x14ac:dyDescent="0.65"/>
    <row r="42" s="3" customFormat="1" ht="15.25" x14ac:dyDescent="0.65"/>
    <row r="43" s="3" customFormat="1" ht="15.25" x14ac:dyDescent="0.65"/>
    <row r="44" s="3" customFormat="1" ht="15.25" x14ac:dyDescent="0.65"/>
    <row r="45" s="3" customFormat="1" ht="15.25" x14ac:dyDescent="0.65"/>
    <row r="46" s="3" customFormat="1" ht="15.25" x14ac:dyDescent="0.65"/>
    <row r="47" s="3" customFormat="1" ht="15.25" x14ac:dyDescent="0.65"/>
    <row r="48" s="3" customFormat="1" ht="15.25" x14ac:dyDescent="0.65"/>
    <row r="49" s="3" customFormat="1" ht="15.25" x14ac:dyDescent="0.65"/>
    <row r="50" s="3" customFormat="1" ht="15.25" x14ac:dyDescent="0.65"/>
    <row r="51" s="3" customFormat="1" ht="15.25" x14ac:dyDescent="0.65"/>
    <row r="52" s="3" customFormat="1" ht="15.25" x14ac:dyDescent="0.65"/>
    <row r="53" s="3" customFormat="1" ht="15.25" x14ac:dyDescent="0.65"/>
    <row r="54" s="3" customFormat="1" ht="15.25" x14ac:dyDescent="0.65"/>
    <row r="55" s="3" customFormat="1" ht="15.25" x14ac:dyDescent="0.65"/>
    <row r="56" s="3" customFormat="1" ht="15.25" x14ac:dyDescent="0.65"/>
    <row r="57" s="3" customFormat="1" ht="15.25" x14ac:dyDescent="0.65"/>
    <row r="58" s="3" customFormat="1" ht="15.25" x14ac:dyDescent="0.65"/>
    <row r="59" s="3" customFormat="1" ht="15.25" x14ac:dyDescent="0.65"/>
    <row r="60" s="3" customFormat="1" ht="15.25" x14ac:dyDescent="0.65"/>
    <row r="61" s="3" customFormat="1" ht="15.25" x14ac:dyDescent="0.65"/>
    <row r="62" s="3" customFormat="1" ht="15.25" x14ac:dyDescent="0.65"/>
    <row r="63" s="3" customFormat="1" ht="15.25" x14ac:dyDescent="0.65"/>
    <row r="64" s="3" customFormat="1" ht="15.25" x14ac:dyDescent="0.65"/>
    <row r="65" s="3" customFormat="1" ht="15.25" x14ac:dyDescent="0.65"/>
    <row r="66" s="3" customFormat="1" ht="15.25" x14ac:dyDescent="0.65"/>
    <row r="67" s="3" customFormat="1" ht="15.25" x14ac:dyDescent="0.65"/>
    <row r="68" s="3" customFormat="1" ht="15.25" x14ac:dyDescent="0.65"/>
    <row r="69" s="3" customFormat="1" ht="15.25" x14ac:dyDescent="0.65"/>
    <row r="70" s="3" customFormat="1" ht="15.25" x14ac:dyDescent="0.65"/>
    <row r="71" s="3" customFormat="1" ht="15.25" x14ac:dyDescent="0.65"/>
    <row r="72" s="3" customFormat="1" ht="15.25" x14ac:dyDescent="0.65"/>
    <row r="73" s="3" customFormat="1" ht="15.25" x14ac:dyDescent="0.65"/>
    <row r="74" s="3" customFormat="1" ht="15.25" x14ac:dyDescent="0.65"/>
    <row r="75" s="3" customFormat="1" ht="15.25" x14ac:dyDescent="0.65"/>
    <row r="76" s="3" customFormat="1" ht="15.25" x14ac:dyDescent="0.65"/>
    <row r="77" s="3" customFormat="1" ht="15.25" x14ac:dyDescent="0.65"/>
  </sheetData>
  <mergeCells count="1">
    <mergeCell ref="C7:G7"/>
  </mergeCell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62465" r:id="rId3" name="Button 1">
              <controlPr defaultSize="0" print="0" autoFill="0" autoPict="0" macro="[0]!FormatCopy" altText="Run">
                <anchor moveWithCells="1" sizeWithCells="1">
                  <from>
                    <xdr:col>9</xdr:col>
                    <xdr:colOff>0</xdr:colOff>
                    <xdr:row>1</xdr:row>
                    <xdr:rowOff>203200</xdr:rowOff>
                  </from>
                  <to>
                    <xdr:col>13</xdr:col>
                    <xdr:colOff>12700</xdr:colOff>
                    <xdr:row>2</xdr:row>
                    <xdr:rowOff>139700</xdr:rowOff>
                  </to>
                </anchor>
              </controlPr>
            </control>
          </mc:Choice>
        </mc:AlternateContent>
        <mc:AlternateContent xmlns:mc="http://schemas.openxmlformats.org/markup-compatibility/2006">
          <mc:Choice Requires="x14">
            <control shapeId="62466" r:id="rId4" name="Button 2">
              <controlPr defaultSize="0" print="0" autoFill="0" autoPict="0" macro="[0]!FormatCopyAutomated">
                <anchor moveWithCells="1" sizeWithCells="1">
                  <from>
                    <xdr:col>10</xdr:col>
                    <xdr:colOff>304800</xdr:colOff>
                    <xdr:row>6</xdr:row>
                    <xdr:rowOff>276225</xdr:rowOff>
                  </from>
                  <to>
                    <xdr:col>13</xdr:col>
                    <xdr:colOff>819150</xdr:colOff>
                    <xdr:row>6</xdr:row>
                    <xdr:rowOff>777875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2AD0C2-1308-47D5-8320-E1F4A61C417C}">
  <sheetPr codeName="Sheet5"/>
  <dimension ref="C1:ZX77"/>
  <sheetViews>
    <sheetView topLeftCell="C1" zoomScale="40" zoomScaleNormal="40" workbookViewId="0">
      <selection activeCell="G20" sqref="G20"/>
    </sheetView>
  </sheetViews>
  <sheetFormatPr defaultColWidth="10.83203125" defaultRowHeight="16" x14ac:dyDescent="0.8"/>
  <cols>
    <col min="1" max="1" width="8.33203125" style="3" customWidth="1"/>
    <col min="2" max="2" width="13" style="3" customWidth="1"/>
    <col min="3" max="3" width="35" style="3" customWidth="1"/>
    <col min="4" max="4" width="56" style="3" customWidth="1"/>
    <col min="5" max="5" width="4.1640625" style="3" customWidth="1"/>
    <col min="6" max="6" width="36.1640625" style="3" bestFit="1" customWidth="1"/>
    <col min="7" max="7" width="56" style="3" customWidth="1"/>
    <col min="8" max="8" width="6" style="3" customWidth="1"/>
    <col min="9" max="9" width="10.83203125" style="3"/>
    <col min="10" max="10" width="4.33203125" style="3" customWidth="1"/>
    <col min="11" max="11" width="9" style="3" bestFit="1" customWidth="1"/>
    <col min="12" max="12" width="3.1640625" style="3" customWidth="1"/>
    <col min="13" max="13" width="3.33203125" style="2" customWidth="1"/>
    <col min="14" max="14" width="10.83203125" style="2"/>
    <col min="15" max="699" width="10.83203125" style="3"/>
    <col min="700" max="700" width="10.83203125" style="3" customWidth="1"/>
    <col min="701" max="16384" width="10.83203125" style="3"/>
  </cols>
  <sheetData>
    <row r="1" spans="3:700" ht="18" customHeight="1" x14ac:dyDescent="0.8">
      <c r="J1" s="7">
        <v>3</v>
      </c>
      <c r="K1" s="23" t="str">
        <f>"out of "&amp;COUNTIF(Fives[Company ID (18 Char)],"*")</f>
        <v>out of 4</v>
      </c>
      <c r="M1" s="3">
        <f>IF(J1+1&lt;=K1,J1+1,"DONE")</f>
        <v>4</v>
      </c>
      <c r="N1" s="3"/>
      <c r="O1" t="s">
        <v>53</v>
      </c>
      <c r="ZX1" s="8"/>
    </row>
    <row r="2" spans="3:700" ht="35" x14ac:dyDescent="1.4">
      <c r="C2" s="10" t="s">
        <v>78</v>
      </c>
      <c r="M2" s="3"/>
      <c r="N2" s="3"/>
    </row>
    <row r="3" spans="3:700" ht="26.5" x14ac:dyDescent="1.1000000000000001">
      <c r="C3" s="14" t="s">
        <v>113</v>
      </c>
      <c r="M3" s="3"/>
      <c r="N3" s="3"/>
    </row>
    <row r="4" spans="3:700" ht="16" customHeight="1" x14ac:dyDescent="0.65">
      <c r="M4" s="3"/>
      <c r="N4" s="3"/>
    </row>
    <row r="5" spans="3:700" ht="23.75" thickBot="1" x14ac:dyDescent="0.95">
      <c r="C5" s="9" t="s">
        <v>25</v>
      </c>
      <c r="D5" s="4"/>
      <c r="E5" s="4"/>
      <c r="F5" s="4"/>
      <c r="G5" s="4"/>
      <c r="M5" s="3"/>
      <c r="N5" s="3"/>
    </row>
    <row r="6" spans="3:700" ht="12" customHeight="1" thickTop="1" x14ac:dyDescent="0.65">
      <c r="M6" s="3"/>
      <c r="N6" s="3"/>
    </row>
    <row r="7" spans="3:700" ht="63" customHeight="1" x14ac:dyDescent="0.65">
      <c r="C7" s="36" t="s">
        <v>87</v>
      </c>
      <c r="D7" s="34"/>
      <c r="E7" s="34"/>
      <c r="F7" s="34"/>
      <c r="G7" s="35"/>
      <c r="M7" s="3"/>
      <c r="N7" s="3"/>
    </row>
    <row r="8" spans="3:700" ht="15.25" x14ac:dyDescent="0.65">
      <c r="M8" s="3"/>
      <c r="N8" s="3"/>
    </row>
    <row r="9" spans="3:700" ht="23.75" thickBot="1" x14ac:dyDescent="0.95">
      <c r="C9" s="9" t="s">
        <v>37</v>
      </c>
      <c r="D9" s="4"/>
      <c r="E9" s="4"/>
      <c r="F9" s="4"/>
      <c r="G9" s="4"/>
      <c r="M9" s="3"/>
      <c r="N9" s="3"/>
    </row>
    <row r="10" spans="3:700" ht="12" customHeight="1" thickTop="1" x14ac:dyDescent="0.65">
      <c r="M10" s="3"/>
      <c r="N10" s="3"/>
    </row>
    <row r="11" spans="3:700" ht="57" x14ac:dyDescent="0.65">
      <c r="C11" s="15" t="s">
        <v>17</v>
      </c>
      <c r="D11" s="16" t="s">
        <v>81</v>
      </c>
      <c r="E11" s="17"/>
      <c r="F11" s="15" t="s">
        <v>20</v>
      </c>
      <c r="G11" s="16" t="s">
        <v>84</v>
      </c>
      <c r="M11" s="3"/>
      <c r="N11" s="3"/>
    </row>
    <row r="12" spans="3:700" ht="38" x14ac:dyDescent="0.65">
      <c r="C12" s="15" t="s">
        <v>18</v>
      </c>
      <c r="D12" s="21" t="s">
        <v>82</v>
      </c>
      <c r="E12" s="17"/>
      <c r="F12" s="15" t="s">
        <v>21</v>
      </c>
      <c r="G12" s="16" t="s">
        <v>85</v>
      </c>
      <c r="M12" s="3"/>
      <c r="N12" s="3"/>
    </row>
    <row r="13" spans="3:700" ht="19.25" x14ac:dyDescent="0.65">
      <c r="C13" s="15" t="s">
        <v>19</v>
      </c>
      <c r="D13" s="22" t="s">
        <v>83</v>
      </c>
      <c r="E13" s="17"/>
      <c r="F13" s="15" t="s">
        <v>22</v>
      </c>
      <c r="G13" s="16" t="s">
        <v>86</v>
      </c>
      <c r="M13" s="3"/>
      <c r="N13" s="3"/>
    </row>
    <row r="14" spans="3:700" ht="12" customHeight="1" x14ac:dyDescent="0.65">
      <c r="M14" s="3"/>
      <c r="N14" s="3"/>
    </row>
    <row r="15" spans="3:700" ht="23.75" thickBot="1" x14ac:dyDescent="0.95">
      <c r="C15" s="9" t="s">
        <v>43</v>
      </c>
      <c r="D15" s="19"/>
      <c r="E15" s="4"/>
      <c r="F15" s="4"/>
      <c r="G15" s="19"/>
      <c r="M15" s="3"/>
      <c r="N15" s="3"/>
    </row>
    <row r="16" spans="3:700" thickTop="1" x14ac:dyDescent="0.65">
      <c r="D16" s="8"/>
      <c r="G16" s="8"/>
      <c r="M16" s="3"/>
      <c r="N16" s="3"/>
    </row>
    <row r="17" spans="3:14" ht="19.25" x14ac:dyDescent="0.65">
      <c r="C17" s="15" t="s">
        <v>44</v>
      </c>
      <c r="D17" s="16" t="s">
        <v>115</v>
      </c>
      <c r="E17" s="17"/>
      <c r="F17" s="15" t="s">
        <v>42</v>
      </c>
      <c r="G17" s="16">
        <v>109</v>
      </c>
      <c r="M17" s="3"/>
      <c r="N17" s="3"/>
    </row>
    <row r="18" spans="3:14" ht="19.25" x14ac:dyDescent="0.65">
      <c r="C18" s="15" t="s">
        <v>11</v>
      </c>
      <c r="D18" s="16" t="s">
        <v>33</v>
      </c>
      <c r="E18" s="17"/>
      <c r="F18" s="15" t="s">
        <v>39</v>
      </c>
      <c r="G18" s="18"/>
      <c r="M18" s="3"/>
      <c r="N18" s="3"/>
    </row>
    <row r="19" spans="3:14" ht="19.25" x14ac:dyDescent="0.65">
      <c r="C19" s="15" t="s">
        <v>12</v>
      </c>
      <c r="D19" s="16"/>
      <c r="E19" s="17"/>
      <c r="F19" s="15" t="s">
        <v>40</v>
      </c>
      <c r="G19" s="27"/>
      <c r="M19" s="3"/>
      <c r="N19" s="3"/>
    </row>
    <row r="20" spans="3:14" ht="19.25" x14ac:dyDescent="0.65">
      <c r="C20" s="15" t="s">
        <v>38</v>
      </c>
      <c r="D20" s="16" t="s">
        <v>88</v>
      </c>
      <c r="E20" s="17"/>
      <c r="F20" s="15" t="s">
        <v>41</v>
      </c>
      <c r="G20" s="27"/>
      <c r="M20" s="3"/>
      <c r="N20" s="3"/>
    </row>
    <row r="21" spans="3:14" ht="19.25" x14ac:dyDescent="0.85">
      <c r="C21" s="29" t="s">
        <v>52</v>
      </c>
      <c r="D21" s="28" t="s">
        <v>51</v>
      </c>
      <c r="M21" s="3"/>
      <c r="N21" s="3"/>
    </row>
    <row r="22" spans="3:14" ht="15.25" x14ac:dyDescent="0.65">
      <c r="M22" s="3"/>
      <c r="N22" s="3"/>
    </row>
    <row r="23" spans="3:14" ht="15.25" x14ac:dyDescent="0.65">
      <c r="M23" s="3"/>
      <c r="N23" s="3"/>
    </row>
    <row r="24" spans="3:14" ht="15.25" x14ac:dyDescent="0.65">
      <c r="M24" s="3"/>
      <c r="N24" s="3"/>
    </row>
    <row r="25" spans="3:14" ht="15.25" x14ac:dyDescent="0.65">
      <c r="M25" s="3"/>
      <c r="N25" s="3"/>
    </row>
    <row r="26" spans="3:14" ht="15.25" x14ac:dyDescent="0.65">
      <c r="M26" s="3"/>
      <c r="N26" s="3"/>
    </row>
    <row r="27" spans="3:14" ht="15.25" x14ac:dyDescent="0.65">
      <c r="M27" s="3"/>
      <c r="N27" s="3"/>
    </row>
    <row r="28" spans="3:14" ht="15.25" x14ac:dyDescent="0.65">
      <c r="M28" s="3"/>
      <c r="N28" s="3"/>
    </row>
    <row r="29" spans="3:14" ht="9" customHeight="1" x14ac:dyDescent="0.65">
      <c r="M29" s="3"/>
      <c r="N29" s="3"/>
    </row>
    <row r="30" spans="3:14" ht="18" customHeight="1" x14ac:dyDescent="0.65">
      <c r="M30" s="3"/>
      <c r="N30" s="3"/>
    </row>
    <row r="31" spans="3:14" ht="15.25" x14ac:dyDescent="0.65">
      <c r="M31" s="3"/>
      <c r="N31" s="3"/>
    </row>
    <row r="32" spans="3:14" ht="15.25" x14ac:dyDescent="0.65">
      <c r="M32" s="3"/>
      <c r="N32" s="3"/>
    </row>
    <row r="33" s="3" customFormat="1" ht="15.25" x14ac:dyDescent="0.65"/>
    <row r="34" s="3" customFormat="1" ht="15.25" x14ac:dyDescent="0.65"/>
    <row r="35" s="3" customFormat="1" ht="15.25" x14ac:dyDescent="0.65"/>
    <row r="36" s="3" customFormat="1" ht="15.25" x14ac:dyDescent="0.65"/>
    <row r="37" s="3" customFormat="1" ht="15.25" x14ac:dyDescent="0.65"/>
    <row r="38" s="3" customFormat="1" ht="15.25" x14ac:dyDescent="0.65"/>
    <row r="39" s="3" customFormat="1" ht="15.25" x14ac:dyDescent="0.65"/>
    <row r="40" s="3" customFormat="1" ht="15.25" x14ac:dyDescent="0.65"/>
    <row r="41" s="3" customFormat="1" ht="15.25" x14ac:dyDescent="0.65"/>
    <row r="42" s="3" customFormat="1" ht="15.25" x14ac:dyDescent="0.65"/>
    <row r="43" s="3" customFormat="1" ht="15.25" x14ac:dyDescent="0.65"/>
    <row r="44" s="3" customFormat="1" ht="15.25" x14ac:dyDescent="0.65"/>
    <row r="45" s="3" customFormat="1" ht="15.25" x14ac:dyDescent="0.65"/>
    <row r="46" s="3" customFormat="1" ht="15.25" x14ac:dyDescent="0.65"/>
    <row r="47" s="3" customFormat="1" ht="15.25" x14ac:dyDescent="0.65"/>
    <row r="48" s="3" customFormat="1" ht="15.25" x14ac:dyDescent="0.65"/>
    <row r="49" s="3" customFormat="1" ht="15.25" x14ac:dyDescent="0.65"/>
    <row r="50" s="3" customFormat="1" ht="15.25" x14ac:dyDescent="0.65"/>
    <row r="51" s="3" customFormat="1" ht="15.25" x14ac:dyDescent="0.65"/>
    <row r="52" s="3" customFormat="1" ht="15.25" x14ac:dyDescent="0.65"/>
    <row r="53" s="3" customFormat="1" ht="15.25" x14ac:dyDescent="0.65"/>
    <row r="54" s="3" customFormat="1" ht="15.25" x14ac:dyDescent="0.65"/>
    <row r="55" s="3" customFormat="1" ht="15.25" x14ac:dyDescent="0.65"/>
    <row r="56" s="3" customFormat="1" ht="15.25" x14ac:dyDescent="0.65"/>
    <row r="57" s="3" customFormat="1" ht="15.25" x14ac:dyDescent="0.65"/>
    <row r="58" s="3" customFormat="1" ht="15.25" x14ac:dyDescent="0.65"/>
    <row r="59" s="3" customFormat="1" ht="15.25" x14ac:dyDescent="0.65"/>
    <row r="60" s="3" customFormat="1" ht="15.25" x14ac:dyDescent="0.65"/>
    <row r="61" s="3" customFormat="1" ht="15.25" x14ac:dyDescent="0.65"/>
    <row r="62" s="3" customFormat="1" ht="15.25" x14ac:dyDescent="0.65"/>
    <row r="63" s="3" customFormat="1" ht="15.25" x14ac:dyDescent="0.65"/>
    <row r="64" s="3" customFormat="1" ht="15.25" x14ac:dyDescent="0.65"/>
    <row r="65" s="3" customFormat="1" ht="15.25" x14ac:dyDescent="0.65"/>
    <row r="66" s="3" customFormat="1" ht="15.25" x14ac:dyDescent="0.65"/>
    <row r="67" s="3" customFormat="1" ht="15.25" x14ac:dyDescent="0.65"/>
    <row r="68" s="3" customFormat="1" ht="15.25" x14ac:dyDescent="0.65"/>
    <row r="69" s="3" customFormat="1" ht="15.25" x14ac:dyDescent="0.65"/>
    <row r="70" s="3" customFormat="1" ht="15.25" x14ac:dyDescent="0.65"/>
    <row r="71" s="3" customFormat="1" ht="15.25" x14ac:dyDescent="0.65"/>
    <row r="72" s="3" customFormat="1" ht="15.25" x14ac:dyDescent="0.65"/>
    <row r="73" s="3" customFormat="1" ht="15.25" x14ac:dyDescent="0.65"/>
    <row r="74" s="3" customFormat="1" ht="15.25" x14ac:dyDescent="0.65"/>
    <row r="75" s="3" customFormat="1" ht="15.25" x14ac:dyDescent="0.65"/>
    <row r="76" s="3" customFormat="1" ht="15.25" x14ac:dyDescent="0.65"/>
    <row r="77" s="3" customFormat="1" ht="15.25" x14ac:dyDescent="0.65"/>
  </sheetData>
  <mergeCells count="1">
    <mergeCell ref="C7:G7"/>
  </mergeCell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61441" r:id="rId3" name="Button 1">
              <controlPr defaultSize="0" print="0" autoFill="0" autoPict="0" macro="[0]!FormatCopy" altText="Run">
                <anchor moveWithCells="1" sizeWithCells="1">
                  <from>
                    <xdr:col>9</xdr:col>
                    <xdr:colOff>0</xdr:colOff>
                    <xdr:row>1</xdr:row>
                    <xdr:rowOff>203200</xdr:rowOff>
                  </from>
                  <to>
                    <xdr:col>13</xdr:col>
                    <xdr:colOff>12700</xdr:colOff>
                    <xdr:row>2</xdr:row>
                    <xdr:rowOff>139700</xdr:rowOff>
                  </to>
                </anchor>
              </controlPr>
            </control>
          </mc:Choice>
        </mc:AlternateContent>
        <mc:AlternateContent xmlns:mc="http://schemas.openxmlformats.org/markup-compatibility/2006">
          <mc:Choice Requires="x14">
            <control shapeId="61442" r:id="rId4" name="Button 2">
              <controlPr defaultSize="0" print="0" autoFill="0" autoPict="0" macro="[0]!FormatCopyAutomated">
                <anchor moveWithCells="1" sizeWithCells="1">
                  <from>
                    <xdr:col>10</xdr:col>
                    <xdr:colOff>304800</xdr:colOff>
                    <xdr:row>6</xdr:row>
                    <xdr:rowOff>276225</xdr:rowOff>
                  </from>
                  <to>
                    <xdr:col>13</xdr:col>
                    <xdr:colOff>819150</xdr:colOff>
                    <xdr:row>6</xdr:row>
                    <xdr:rowOff>777875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C1:ZX77"/>
  <sheetViews>
    <sheetView zoomScale="40" zoomScaleNormal="40" workbookViewId="0">
      <selection activeCell="D20" sqref="D20"/>
    </sheetView>
  </sheetViews>
  <sheetFormatPr defaultColWidth="10.83203125" defaultRowHeight="16" x14ac:dyDescent="0.8"/>
  <cols>
    <col min="1" max="1" width="8.33203125" style="3" customWidth="1"/>
    <col min="2" max="2" width="13" style="3" customWidth="1"/>
    <col min="3" max="3" width="35" style="3" customWidth="1"/>
    <col min="4" max="4" width="56" style="3" customWidth="1"/>
    <col min="5" max="5" width="4.1640625" style="3" customWidth="1"/>
    <col min="6" max="6" width="36.1640625" style="3" bestFit="1" customWidth="1"/>
    <col min="7" max="7" width="56" style="3" customWidth="1"/>
    <col min="8" max="8" width="6" style="3" customWidth="1"/>
    <col min="9" max="9" width="10.83203125" style="3"/>
    <col min="10" max="10" width="4.33203125" style="3" customWidth="1"/>
    <col min="11" max="11" width="9" style="3" bestFit="1" customWidth="1"/>
    <col min="12" max="12" width="3.1640625" style="3" customWidth="1"/>
    <col min="13" max="13" width="3.33203125" style="2" customWidth="1"/>
    <col min="14" max="14" width="10.83203125" style="2"/>
    <col min="15" max="699" width="10.83203125" style="3"/>
    <col min="700" max="700" width="10.83203125" style="3" customWidth="1"/>
    <col min="701" max="16384" width="10.83203125" style="3"/>
  </cols>
  <sheetData>
    <row r="1" spans="3:700" ht="18" customHeight="1" x14ac:dyDescent="0.8">
      <c r="J1" s="7">
        <v>3</v>
      </c>
      <c r="K1" s="23" t="str">
        <f>"out of "&amp;COUNTIF(Fives[Company ID (18 Char)],"*")</f>
        <v>out of 4</v>
      </c>
      <c r="M1" s="3">
        <f>IF(J1+1&lt;=K1,J1+1,"DONE")</f>
        <v>4</v>
      </c>
      <c r="N1" s="3"/>
      <c r="O1" t="s">
        <v>53</v>
      </c>
      <c r="ZX1" s="8"/>
    </row>
    <row r="2" spans="3:700" ht="35" x14ac:dyDescent="1.4">
      <c r="C2" s="10" t="str" cm="1">
        <f t="array" ref="C2">INDEX(Fives[],$J$1,4)</f>
        <v>HeroDevs</v>
      </c>
      <c r="M2" s="3"/>
      <c r="N2" s="3"/>
    </row>
    <row r="3" spans="3:700" ht="26.5" x14ac:dyDescent="1.1000000000000001">
      <c r="C3" s="14" t="str" cm="1">
        <f t="array" ref="C3">"Upgraded by "&amp;INDEX(Fives[Upgraded by Combined],$J$1,1)</f>
        <v>Upgraded by Ben MacShane</v>
      </c>
      <c r="M3" s="3"/>
      <c r="N3" s="3"/>
    </row>
    <row r="4" spans="3:700" ht="16" customHeight="1" x14ac:dyDescent="0.65">
      <c r="M4" s="3"/>
      <c r="N4" s="3"/>
    </row>
    <row r="5" spans="3:700" ht="23.75" thickBot="1" x14ac:dyDescent="0.95">
      <c r="C5" s="9" t="s">
        <v>25</v>
      </c>
      <c r="D5" s="4"/>
      <c r="E5" s="4"/>
      <c r="F5" s="4"/>
      <c r="G5" s="4"/>
      <c r="M5" s="3"/>
      <c r="N5" s="3"/>
    </row>
    <row r="6" spans="3:700" ht="12" customHeight="1" thickTop="1" x14ac:dyDescent="0.65">
      <c r="M6" s="3"/>
      <c r="N6" s="3"/>
    </row>
    <row r="7" spans="3:700" ht="63" customHeight="1" x14ac:dyDescent="0.65">
      <c r="C7" s="33" t="str" cm="1">
        <f t="array" ref="C7">IF(INDEX(Fives[],$J$1,29)=0,"",INDEX(Fives[],$J$1,29))</f>
        <v>HeroDevs, LLC is a software development company. Its products include NES Vue 2, NES Angular, AngularJS XLTS, NES Protractor, Endbridge. The company offers Web, Web Development, Architecture, Open Source, End-of-Life, Angular, Vue, Nx, React, Cypress, and AngularJs. It provides services to its clients and business consumers.</v>
      </c>
      <c r="D7" s="34"/>
      <c r="E7" s="34"/>
      <c r="F7" s="34"/>
      <c r="G7" s="35"/>
      <c r="M7" s="3"/>
      <c r="N7" s="3"/>
    </row>
    <row r="8" spans="3:700" ht="15.25" x14ac:dyDescent="0.65">
      <c r="M8" s="3"/>
      <c r="N8" s="3"/>
    </row>
    <row r="9" spans="3:700" ht="23.75" thickBot="1" x14ac:dyDescent="0.95">
      <c r="C9" s="9" t="s">
        <v>37</v>
      </c>
      <c r="D9" s="4"/>
      <c r="E9" s="4"/>
      <c r="F9" s="4"/>
      <c r="G9" s="4"/>
      <c r="M9" s="3"/>
      <c r="N9" s="3"/>
    </row>
    <row r="10" spans="3:700" ht="12" customHeight="1" thickTop="1" x14ac:dyDescent="0.65">
      <c r="M10" s="3"/>
      <c r="N10" s="3"/>
    </row>
    <row r="11" spans="3:700" ht="19.25" x14ac:dyDescent="0.65">
      <c r="C11" s="15" t="s">
        <v>17</v>
      </c>
      <c r="D11" s="16" t="str" cm="1">
        <f t="array" ref="D11">IF(INDEX(Fives[],$J$1,21)=0,"",INDEX(Fives[],$J$1,21))</f>
        <v>$19M of product rev, $10M of services</v>
      </c>
      <c r="E11" s="17"/>
      <c r="F11" s="15" t="s">
        <v>20</v>
      </c>
      <c r="G11" s="16" t="str" cm="1">
        <f t="array" ref="G11">IF(INDEX(Fives[],$J$1,24)=0,"",INDEX(Fives[],$J$1,24))</f>
        <v>recurring product rev. and services</v>
      </c>
      <c r="M11" s="3"/>
      <c r="N11" s="3"/>
    </row>
    <row r="12" spans="3:700" ht="19.25" x14ac:dyDescent="0.65">
      <c r="C12" s="15" t="s">
        <v>18</v>
      </c>
      <c r="D12" s="21" t="str" cm="1">
        <f t="array" ref="D12">IF(INDEX(Fives[],$J$1,22)=0,"",INDEX(Fives[],$J$1,22))</f>
        <v>50%+</v>
      </c>
      <c r="E12" s="17"/>
      <c r="F12" s="15" t="s">
        <v>21</v>
      </c>
      <c r="G12" s="16" t="str" cm="1">
        <f t="array" ref="G12">IF(INDEX(Fives[],$J$1,25)=0,"",INDEX(Fives[],$J$1,25))</f>
        <v>$8M from Album, rest is founder</v>
      </c>
      <c r="M12" s="3"/>
      <c r="N12" s="3"/>
    </row>
    <row r="13" spans="3:700" ht="19.25" x14ac:dyDescent="0.65">
      <c r="C13" s="15" t="s">
        <v>19</v>
      </c>
      <c r="D13" s="22" t="str" cm="1">
        <f t="array" ref="D13">IF(INDEX(Fives[],$J$1,23)=0,"",INDEX(Fives[],$J$1,23))</f>
        <v>$12m of EBITDA</v>
      </c>
      <c r="E13" s="17"/>
      <c r="F13" s="15" t="s">
        <v>22</v>
      </c>
      <c r="G13" s="16" t="str" cm="1">
        <f t="array" ref="G13">IF(INDEX(Fives[],$J$1,26)=0,"",INDEX(Fives[],$J$1,26))</f>
        <v>None</v>
      </c>
      <c r="M13" s="3"/>
      <c r="N13" s="3"/>
    </row>
    <row r="14" spans="3:700" ht="12" customHeight="1" x14ac:dyDescent="0.65">
      <c r="M14" s="3"/>
      <c r="N14" s="3"/>
    </row>
    <row r="15" spans="3:700" ht="23.75" thickBot="1" x14ac:dyDescent="0.95">
      <c r="C15" s="9" t="s">
        <v>43</v>
      </c>
      <c r="D15" s="19"/>
      <c r="E15" s="4"/>
      <c r="F15" s="4"/>
      <c r="G15" s="19"/>
      <c r="M15" s="3"/>
      <c r="N15" s="3"/>
    </row>
    <row r="16" spans="3:700" thickTop="1" x14ac:dyDescent="0.65">
      <c r="D16" s="8"/>
      <c r="G16" s="8"/>
      <c r="M16" s="3"/>
      <c r="N16" s="3"/>
    </row>
    <row r="17" spans="3:14" ht="19.25" x14ac:dyDescent="0.65">
      <c r="C17" s="15" t="s">
        <v>44</v>
      </c>
      <c r="D17" s="16" t="str" cm="1">
        <f t="array" ref="D17">IF(INDEX(Fives[],$J$1,6)="",INDEX(Fives[],$J$1,5),IF(ISNUMBER(FIND(INDEX(Fives[],$J$1,5),INDEX(Fives[],$J$1,6))),INDEX(Fives[],$J$1,6),INDEX(Fives[],$J$1,5)&amp;"; "&amp;INDEX(Fives[],$J$1,6)))</f>
        <v>Ben MacShane</v>
      </c>
      <c r="E17" s="17"/>
      <c r="F17" s="15" t="s">
        <v>42</v>
      </c>
      <c r="G17" s="16" cm="1">
        <f t="array" ref="G17">IF(INDEX(Fives[],$J$1,30)=0,"",INDEX(Fives[],$J$1,30))</f>
        <v>59</v>
      </c>
      <c r="M17" s="3"/>
      <c r="N17" s="3"/>
    </row>
    <row r="18" spans="3:14" ht="19.25" x14ac:dyDescent="0.65">
      <c r="C18" s="15" t="s">
        <v>11</v>
      </c>
      <c r="D18" s="16" t="str" cm="1">
        <f t="array" ref="D18">IF(INDEX(Fives[],$J$1,15)=0,"",INDEX(Fives[],$J$1,15))</f>
        <v>Proprietary</v>
      </c>
      <c r="E18" s="17"/>
      <c r="F18" s="15" t="s">
        <v>39</v>
      </c>
      <c r="G18" s="18" t="str" cm="1">
        <f t="array" ref="G18">IF(INDEX(Fives[],$J$1,32)=0,"",INDEX(Fives[],$J$1,32))</f>
        <v/>
      </c>
      <c r="M18" s="3"/>
      <c r="N18" s="3"/>
    </row>
    <row r="19" spans="3:14" ht="19.25" x14ac:dyDescent="0.65">
      <c r="C19" s="15" t="s">
        <v>12</v>
      </c>
      <c r="D19" s="16" t="str" cm="1">
        <f t="array" ref="D19">IF(INDEX(Fives[],$J$1,16)=0,"",INDEX(Fives[],$J$1,16))</f>
        <v/>
      </c>
      <c r="E19" s="17"/>
      <c r="F19" s="15" t="s">
        <v>40</v>
      </c>
      <c r="G19" s="27" t="str" cm="1">
        <f t="array" ref="G19">IF(INDEX(Fives[],$J$1,31)=0,"",INDEX(Fives[],$J$1,31))</f>
        <v/>
      </c>
      <c r="M19" s="3"/>
      <c r="N19" s="3"/>
    </row>
    <row r="20" spans="3:14" ht="19.25" x14ac:dyDescent="0.65">
      <c r="C20" s="15" t="s">
        <v>38</v>
      </c>
      <c r="D20" s="16" t="str" cm="1">
        <f t="array" ref="D20">IF(INDEX(Fives[],$J$1,35)=0,"",INDEX(Fives[],$J$1,35))</f>
        <v>https://www.herodevs.com</v>
      </c>
      <c r="E20" s="17"/>
      <c r="F20" s="15" t="s">
        <v>41</v>
      </c>
      <c r="G20" s="27" t="str" cm="1">
        <f t="array" ref="G20">IF(INDEX(Fives[],$J$1,33)=0,"",INDEX(Fives[],$J$1,33))</f>
        <v/>
      </c>
      <c r="M20" s="3"/>
      <c r="N20" s="3"/>
    </row>
    <row r="21" spans="3:14" ht="19.25" x14ac:dyDescent="0.85">
      <c r="C21" s="29" t="s">
        <v>52</v>
      </c>
      <c r="D21" s="28" t="str" cm="1">
        <f t="array" ref="D21">IF(INDEX(Fives[],$J$1,36)=0,"",INDEX(Fives[],$J$1,36))</f>
        <v>USA</v>
      </c>
      <c r="M21" s="3"/>
      <c r="N21" s="3"/>
    </row>
    <row r="22" spans="3:14" ht="15.25" x14ac:dyDescent="0.65">
      <c r="M22" s="3"/>
      <c r="N22" s="3"/>
    </row>
    <row r="23" spans="3:14" ht="15.25" x14ac:dyDescent="0.65">
      <c r="M23" s="3"/>
      <c r="N23" s="3"/>
    </row>
    <row r="24" spans="3:14" ht="15.25" x14ac:dyDescent="0.65">
      <c r="M24" s="3"/>
      <c r="N24" s="3"/>
    </row>
    <row r="25" spans="3:14" ht="15.25" x14ac:dyDescent="0.65">
      <c r="M25" s="3"/>
      <c r="N25" s="3"/>
    </row>
    <row r="26" spans="3:14" ht="15.25" x14ac:dyDescent="0.65">
      <c r="M26" s="3"/>
      <c r="N26" s="3"/>
    </row>
    <row r="27" spans="3:14" ht="15.25" x14ac:dyDescent="0.65">
      <c r="M27" s="3"/>
      <c r="N27" s="3"/>
    </row>
    <row r="28" spans="3:14" ht="15.25" x14ac:dyDescent="0.65">
      <c r="M28" s="3"/>
      <c r="N28" s="3"/>
    </row>
    <row r="29" spans="3:14" ht="9" customHeight="1" x14ac:dyDescent="0.65">
      <c r="M29" s="3"/>
      <c r="N29" s="3"/>
    </row>
    <row r="30" spans="3:14" ht="18" customHeight="1" x14ac:dyDescent="0.65">
      <c r="M30" s="3"/>
      <c r="N30" s="3"/>
    </row>
    <row r="31" spans="3:14" ht="15.25" x14ac:dyDescent="0.65">
      <c r="M31" s="3"/>
      <c r="N31" s="3"/>
    </row>
    <row r="32" spans="3:14" ht="15.25" x14ac:dyDescent="0.65">
      <c r="M32" s="3"/>
      <c r="N32" s="3"/>
    </row>
    <row r="33" s="3" customFormat="1" ht="15.25" x14ac:dyDescent="0.65"/>
    <row r="34" s="3" customFormat="1" ht="15.25" x14ac:dyDescent="0.65"/>
    <row r="35" s="3" customFormat="1" ht="15.25" x14ac:dyDescent="0.65"/>
    <row r="36" s="3" customFormat="1" ht="15.25" x14ac:dyDescent="0.65"/>
    <row r="37" s="3" customFormat="1" ht="15.25" x14ac:dyDescent="0.65"/>
    <row r="38" s="3" customFormat="1" ht="15.25" x14ac:dyDescent="0.65"/>
    <row r="39" s="3" customFormat="1" ht="15.25" x14ac:dyDescent="0.65"/>
    <row r="40" s="3" customFormat="1" ht="15.25" x14ac:dyDescent="0.65"/>
    <row r="41" s="3" customFormat="1" ht="15.25" x14ac:dyDescent="0.65"/>
    <row r="42" s="3" customFormat="1" ht="15.25" x14ac:dyDescent="0.65"/>
    <row r="43" s="3" customFormat="1" ht="15.25" x14ac:dyDescent="0.65"/>
    <row r="44" s="3" customFormat="1" ht="15.25" x14ac:dyDescent="0.65"/>
    <row r="45" s="3" customFormat="1" ht="15.25" x14ac:dyDescent="0.65"/>
    <row r="46" s="3" customFormat="1" ht="15.25" x14ac:dyDescent="0.65"/>
    <row r="47" s="3" customFormat="1" ht="15.25" x14ac:dyDescent="0.65"/>
    <row r="48" s="3" customFormat="1" ht="15.25" x14ac:dyDescent="0.65"/>
    <row r="49" s="3" customFormat="1" ht="15.25" x14ac:dyDescent="0.65"/>
    <row r="50" s="3" customFormat="1" ht="15.25" x14ac:dyDescent="0.65"/>
    <row r="51" s="3" customFormat="1" ht="15.25" x14ac:dyDescent="0.65"/>
    <row r="52" s="3" customFormat="1" ht="15.25" x14ac:dyDescent="0.65"/>
    <row r="53" s="3" customFormat="1" ht="15.25" x14ac:dyDescent="0.65"/>
    <row r="54" s="3" customFormat="1" ht="15.25" x14ac:dyDescent="0.65"/>
    <row r="55" s="3" customFormat="1" ht="15.25" x14ac:dyDescent="0.65"/>
    <row r="56" s="3" customFormat="1" ht="15.25" x14ac:dyDescent="0.65"/>
    <row r="57" s="3" customFormat="1" ht="15.25" x14ac:dyDescent="0.65"/>
    <row r="58" s="3" customFormat="1" ht="15.25" x14ac:dyDescent="0.65"/>
    <row r="59" s="3" customFormat="1" ht="15.25" x14ac:dyDescent="0.65"/>
    <row r="60" s="3" customFormat="1" ht="15.25" x14ac:dyDescent="0.65"/>
    <row r="61" s="3" customFormat="1" ht="15.25" x14ac:dyDescent="0.65"/>
    <row r="62" s="3" customFormat="1" ht="15.25" x14ac:dyDescent="0.65"/>
    <row r="63" s="3" customFormat="1" ht="15.25" x14ac:dyDescent="0.65"/>
    <row r="64" s="3" customFormat="1" ht="15.25" x14ac:dyDescent="0.65"/>
    <row r="65" s="3" customFormat="1" ht="15.25" x14ac:dyDescent="0.65"/>
    <row r="66" s="3" customFormat="1" ht="15.25" x14ac:dyDescent="0.65"/>
    <row r="67" s="3" customFormat="1" ht="15.25" x14ac:dyDescent="0.65"/>
    <row r="68" s="3" customFormat="1" ht="15.25" x14ac:dyDescent="0.65"/>
    <row r="69" s="3" customFormat="1" ht="15.25" x14ac:dyDescent="0.65"/>
    <row r="70" s="3" customFormat="1" ht="15.25" x14ac:dyDescent="0.65"/>
    <row r="71" s="3" customFormat="1" ht="15.25" x14ac:dyDescent="0.65"/>
    <row r="72" s="3" customFormat="1" ht="15.25" x14ac:dyDescent="0.65"/>
    <row r="73" s="3" customFormat="1" ht="15.25" x14ac:dyDescent="0.65"/>
    <row r="74" s="3" customFormat="1" ht="15.25" x14ac:dyDescent="0.65"/>
    <row r="75" s="3" customFormat="1" ht="15.25" x14ac:dyDescent="0.65"/>
    <row r="76" s="3" customFormat="1" ht="15.25" x14ac:dyDescent="0.65"/>
    <row r="77" s="3" customFormat="1" ht="15.25" x14ac:dyDescent="0.65"/>
  </sheetData>
  <mergeCells count="1">
    <mergeCell ref="C7:G7"/>
  </mergeCell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FormatCopy" altText="Run">
                <anchor moveWithCells="1" sizeWithCells="1">
                  <from>
                    <xdr:col>8</xdr:col>
                    <xdr:colOff>730250</xdr:colOff>
                    <xdr:row>1</xdr:row>
                    <xdr:rowOff>161925</xdr:rowOff>
                  </from>
                  <to>
                    <xdr:col>12</xdr:col>
                    <xdr:colOff>203200</xdr:colOff>
                    <xdr:row>2</xdr:row>
                    <xdr:rowOff>98425</xdr:rowOff>
                  </to>
                </anchor>
              </controlPr>
            </control>
          </mc:Choice>
        </mc:AlternateContent>
        <mc:AlternateContent xmlns:mc="http://schemas.openxmlformats.org/markup-compatibility/2006">
          <mc:Choice Requires="x14">
            <control shapeId="3074" r:id="rId4" name="Button 2">
              <controlPr defaultSize="0" print="0" autoFill="0" autoPict="0" macro="[0]!FormatCopyAutomated">
                <anchor moveWithCells="1" sizeWithCells="1">
                  <from>
                    <xdr:col>10</xdr:col>
                    <xdr:colOff>177800</xdr:colOff>
                    <xdr:row>6</xdr:row>
                    <xdr:rowOff>266700</xdr:rowOff>
                  </from>
                  <to>
                    <xdr:col>13</xdr:col>
                    <xdr:colOff>755650</xdr:colOff>
                    <xdr:row>6</xdr:row>
                    <xdr:rowOff>768350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L5"/>
  <sheetViews>
    <sheetView topLeftCell="AK1" zoomScaleNormal="100" workbookViewId="0">
      <pane ySplit="1" topLeftCell="A2" activePane="bottomLeft" state="frozen"/>
      <selection activeCell="AJ3" sqref="AJ3"/>
      <selection pane="bottomLeft" activeCell="AL1" sqref="AL1"/>
    </sheetView>
  </sheetViews>
  <sheetFormatPr defaultColWidth="10.6640625" defaultRowHeight="16" x14ac:dyDescent="0.8"/>
  <cols>
    <col min="1" max="1" width="21.5" customWidth="1"/>
    <col min="2" max="2" width="20.33203125" customWidth="1"/>
    <col min="3" max="3" width="19.33203125" customWidth="1"/>
    <col min="4" max="4" width="23.83203125" customWidth="1"/>
    <col min="5" max="5" width="17.33203125" bestFit="1" customWidth="1"/>
    <col min="6" max="6" width="18" customWidth="1"/>
    <col min="7" max="7" width="23.33203125" customWidth="1"/>
    <col min="8" max="8" width="11.33203125" bestFit="1" customWidth="1"/>
    <col min="9" max="10" width="22.83203125" hidden="1" customWidth="1"/>
    <col min="11" max="11" width="20.33203125" hidden="1" customWidth="1"/>
    <col min="12" max="12" width="15.83203125" hidden="1" customWidth="1"/>
    <col min="13" max="13" width="24" hidden="1" customWidth="1"/>
    <col min="14" max="14" width="18.5" customWidth="1"/>
    <col min="15" max="15" width="22.6640625" customWidth="1"/>
    <col min="16" max="16" width="19.33203125" customWidth="1"/>
    <col min="17" max="17" width="16.5" hidden="1" customWidth="1"/>
    <col min="18" max="18" width="12.5" hidden="1" customWidth="1"/>
    <col min="19" max="19" width="21.1640625" hidden="1" customWidth="1"/>
    <col min="20" max="20" width="30.5" hidden="1" customWidth="1"/>
    <col min="21" max="21" width="26" customWidth="1"/>
    <col min="22" max="22" width="13.6640625" customWidth="1"/>
    <col min="23" max="23" width="23.1640625" customWidth="1"/>
    <col min="24" max="24" width="15" customWidth="1"/>
    <col min="25" max="25" width="18.5" customWidth="1"/>
    <col min="26" max="26" width="21.6640625" customWidth="1"/>
    <col min="27" max="27" width="21.83203125" hidden="1" customWidth="1"/>
    <col min="28" max="28" width="25.5" hidden="1" customWidth="1"/>
    <col min="29" max="29" width="25.6640625" customWidth="1"/>
    <col min="30" max="30" width="22.5" customWidth="1"/>
    <col min="31" max="31" width="19.5" customWidth="1"/>
    <col min="32" max="32" width="12.83203125" customWidth="1"/>
    <col min="33" max="33" width="16.33203125" customWidth="1"/>
    <col min="34" max="34" width="18.33203125" customWidth="1"/>
    <col min="35" max="36" width="22.83203125" customWidth="1"/>
    <col min="37" max="37" width="19.5" bestFit="1" customWidth="1"/>
    <col min="38" max="38" width="35.33203125" bestFit="1" customWidth="1"/>
    <col min="40" max="40" width="11.83203125" customWidth="1"/>
  </cols>
  <sheetData>
    <row r="1" spans="1:38" x14ac:dyDescent="0.8">
      <c r="A1" t="s">
        <v>0</v>
      </c>
      <c r="B1" t="s">
        <v>1</v>
      </c>
      <c r="C1" t="s">
        <v>2</v>
      </c>
      <c r="D1" t="s">
        <v>3</v>
      </c>
      <c r="E1" t="s">
        <v>45</v>
      </c>
      <c r="F1" t="s">
        <v>36</v>
      </c>
      <c r="G1" s="20" t="s">
        <v>35</v>
      </c>
      <c r="H1" t="s">
        <v>4</v>
      </c>
      <c r="I1" t="s">
        <v>5</v>
      </c>
      <c r="J1" t="s">
        <v>6</v>
      </c>
      <c r="K1" t="s">
        <v>7</v>
      </c>
      <c r="L1" t="s">
        <v>8</v>
      </c>
      <c r="M1" t="s">
        <v>9</v>
      </c>
      <c r="N1" t="s">
        <v>10</v>
      </c>
      <c r="O1" s="20" t="s">
        <v>11</v>
      </c>
      <c r="P1" s="20" t="s">
        <v>12</v>
      </c>
      <c r="Q1" t="s">
        <v>13</v>
      </c>
      <c r="R1" t="s">
        <v>14</v>
      </c>
      <c r="S1" t="s">
        <v>15</v>
      </c>
      <c r="T1" t="s">
        <v>16</v>
      </c>
      <c r="U1" t="s">
        <v>17</v>
      </c>
      <c r="V1" t="s">
        <v>18</v>
      </c>
      <c r="W1" t="s">
        <v>19</v>
      </c>
      <c r="X1" t="s">
        <v>20</v>
      </c>
      <c r="Y1" t="s">
        <v>21</v>
      </c>
      <c r="Z1" t="s">
        <v>22</v>
      </c>
      <c r="AA1" t="s">
        <v>23</v>
      </c>
      <c r="AB1" t="s">
        <v>24</v>
      </c>
      <c r="AC1" t="s">
        <v>25</v>
      </c>
      <c r="AD1" t="s">
        <v>26</v>
      </c>
      <c r="AE1" t="s">
        <v>27</v>
      </c>
      <c r="AF1" t="s">
        <v>28</v>
      </c>
      <c r="AG1" t="s">
        <v>29</v>
      </c>
      <c r="AH1" t="s">
        <v>30</v>
      </c>
      <c r="AI1" t="s">
        <v>38</v>
      </c>
      <c r="AJ1" t="s">
        <v>50</v>
      </c>
      <c r="AK1" s="20" t="s">
        <v>47</v>
      </c>
      <c r="AL1" s="20" t="s">
        <v>46</v>
      </c>
    </row>
    <row r="2" spans="1:38" x14ac:dyDescent="0.8">
      <c r="A2" t="s">
        <v>60</v>
      </c>
      <c r="B2" t="s">
        <v>61</v>
      </c>
      <c r="C2" t="s">
        <v>62</v>
      </c>
      <c r="D2" t="s">
        <v>63</v>
      </c>
      <c r="E2" t="s">
        <v>64</v>
      </c>
      <c r="G2" t="s">
        <v>64</v>
      </c>
      <c r="H2" s="31">
        <v>45348</v>
      </c>
      <c r="I2" t="s">
        <v>55</v>
      </c>
      <c r="J2" t="s">
        <v>31</v>
      </c>
      <c r="K2" t="s">
        <v>32</v>
      </c>
      <c r="N2" t="s">
        <v>31</v>
      </c>
      <c r="O2" t="s">
        <v>33</v>
      </c>
      <c r="Q2">
        <v>0</v>
      </c>
      <c r="R2" s="31">
        <v>45348</v>
      </c>
      <c r="S2" t="s">
        <v>65</v>
      </c>
      <c r="T2" s="31">
        <v>45348</v>
      </c>
      <c r="U2" t="s">
        <v>66</v>
      </c>
      <c r="V2" t="s">
        <v>67</v>
      </c>
      <c r="W2" t="s">
        <v>68</v>
      </c>
      <c r="X2" t="s">
        <v>69</v>
      </c>
      <c r="Y2" t="s">
        <v>70</v>
      </c>
      <c r="Z2" t="s">
        <v>71</v>
      </c>
      <c r="AA2" t="s">
        <v>72</v>
      </c>
      <c r="AC2" t="s">
        <v>73</v>
      </c>
      <c r="AD2">
        <v>93</v>
      </c>
      <c r="AE2">
        <v>0</v>
      </c>
      <c r="AF2" s="31">
        <v>44593</v>
      </c>
      <c r="AG2">
        <v>400000</v>
      </c>
      <c r="AH2" t="s">
        <v>57</v>
      </c>
      <c r="AI2" t="s">
        <v>74</v>
      </c>
      <c r="AJ2" t="s">
        <v>51</v>
      </c>
      <c r="AK2">
        <f>COUNTIF(Fives[Upgraded By],Fives[[#This Row],[Upgraded By]])</f>
        <v>4</v>
      </c>
      <c r="AL2" t="str">
        <f>IF(Fives[[#This Row],[Split Credit]]="",Fives[[#This Row],[Upgraded By]],IF(ISNUMBER(FIND(Fives[[#This Row],[Upgraded By]],Fives[[#This Row],[Split Credit]])),Fives[[#This Row],[Split Credit]],Fives[[#This Row],[Upgraded By]]&amp;"; "&amp;Fives[[#This Row],[Split Credit]]))</f>
        <v>Ben MacShane</v>
      </c>
    </row>
    <row r="3" spans="1:38" x14ac:dyDescent="0.8">
      <c r="A3" t="s">
        <v>75</v>
      </c>
      <c r="B3" t="s">
        <v>76</v>
      </c>
      <c r="C3" t="s">
        <v>77</v>
      </c>
      <c r="D3" t="s">
        <v>78</v>
      </c>
      <c r="E3" t="s">
        <v>79</v>
      </c>
      <c r="G3" t="s">
        <v>64</v>
      </c>
      <c r="H3" s="31">
        <v>45350</v>
      </c>
      <c r="I3" t="s">
        <v>49</v>
      </c>
      <c r="J3" t="s">
        <v>31</v>
      </c>
      <c r="K3" t="s">
        <v>32</v>
      </c>
      <c r="N3" t="s">
        <v>31</v>
      </c>
      <c r="O3" t="s">
        <v>33</v>
      </c>
      <c r="Q3">
        <v>0</v>
      </c>
      <c r="R3" s="31">
        <v>45350</v>
      </c>
      <c r="S3" t="s">
        <v>80</v>
      </c>
      <c r="T3" s="31">
        <v>45350</v>
      </c>
      <c r="U3" t="s">
        <v>81</v>
      </c>
      <c r="V3" t="s">
        <v>82</v>
      </c>
      <c r="W3" t="s">
        <v>83</v>
      </c>
      <c r="X3" t="s">
        <v>84</v>
      </c>
      <c r="Y3" t="s">
        <v>85</v>
      </c>
      <c r="Z3" t="s">
        <v>86</v>
      </c>
      <c r="AC3" t="s">
        <v>87</v>
      </c>
      <c r="AD3">
        <v>109</v>
      </c>
      <c r="AH3" t="s">
        <v>34</v>
      </c>
      <c r="AI3" t="s">
        <v>88</v>
      </c>
      <c r="AJ3" t="s">
        <v>51</v>
      </c>
      <c r="AK3">
        <f>COUNTIF(Fives[Upgraded By],Fives[[#This Row],[Upgraded By]])</f>
        <v>4</v>
      </c>
      <c r="AL3" t="str">
        <f>IF(Fives[[#This Row],[Split Credit]]="",Fives[[#This Row],[Upgraded By]],IF(ISNUMBER(FIND(Fives[[#This Row],[Upgraded By]],Fives[[#This Row],[Split Credit]])),Fives[[#This Row],[Split Credit]],Fives[[#This Row],[Upgraded By]]&amp;"; "&amp;Fives[[#This Row],[Split Credit]]))</f>
        <v>Ben MacShane</v>
      </c>
    </row>
    <row r="4" spans="1:38" x14ac:dyDescent="0.8">
      <c r="A4" t="s">
        <v>89</v>
      </c>
      <c r="B4" t="s">
        <v>90</v>
      </c>
      <c r="C4" t="s">
        <v>91</v>
      </c>
      <c r="D4" t="s">
        <v>92</v>
      </c>
      <c r="E4" t="s">
        <v>64</v>
      </c>
      <c r="G4" t="s">
        <v>64</v>
      </c>
      <c r="H4" s="31">
        <v>45354</v>
      </c>
      <c r="I4" t="s">
        <v>49</v>
      </c>
      <c r="J4" t="s">
        <v>31</v>
      </c>
      <c r="K4" t="s">
        <v>32</v>
      </c>
      <c r="N4" t="s">
        <v>31</v>
      </c>
      <c r="O4" t="s">
        <v>33</v>
      </c>
      <c r="Q4">
        <v>0</v>
      </c>
      <c r="R4" s="31">
        <v>45352</v>
      </c>
      <c r="S4" t="s">
        <v>93</v>
      </c>
      <c r="T4" s="31">
        <v>45352</v>
      </c>
      <c r="U4" t="s">
        <v>94</v>
      </c>
      <c r="V4" t="s">
        <v>95</v>
      </c>
      <c r="W4" t="s">
        <v>96</v>
      </c>
      <c r="X4" t="s">
        <v>97</v>
      </c>
      <c r="Y4" t="s">
        <v>98</v>
      </c>
      <c r="Z4" t="s">
        <v>56</v>
      </c>
      <c r="AC4" t="s">
        <v>99</v>
      </c>
      <c r="AD4">
        <v>59</v>
      </c>
      <c r="AH4" t="s">
        <v>34</v>
      </c>
      <c r="AI4" t="s">
        <v>100</v>
      </c>
      <c r="AJ4" t="s">
        <v>51</v>
      </c>
      <c r="AK4">
        <f>COUNTIF(Fives[Upgraded By],Fives[[#This Row],[Upgraded By]])</f>
        <v>4</v>
      </c>
      <c r="AL4" t="str">
        <f>IF(Fives[[#This Row],[Split Credit]]="",Fives[[#This Row],[Upgraded By]],IF(ISNUMBER(FIND(Fives[[#This Row],[Upgraded By]],Fives[[#This Row],[Split Credit]])),Fives[[#This Row],[Split Credit]],Fives[[#This Row],[Upgraded By]]&amp;"; "&amp;Fives[[#This Row],[Split Credit]]))</f>
        <v>Ben MacShane</v>
      </c>
    </row>
    <row r="5" spans="1:38" x14ac:dyDescent="0.8">
      <c r="A5" t="s">
        <v>101</v>
      </c>
      <c r="B5" t="s">
        <v>102</v>
      </c>
      <c r="C5" t="s">
        <v>103</v>
      </c>
      <c r="D5" t="s">
        <v>104</v>
      </c>
      <c r="E5" t="s">
        <v>64</v>
      </c>
      <c r="G5" t="s">
        <v>64</v>
      </c>
      <c r="H5" s="31">
        <v>45354</v>
      </c>
      <c r="I5" t="s">
        <v>55</v>
      </c>
      <c r="J5" t="s">
        <v>31</v>
      </c>
      <c r="K5" t="s">
        <v>32</v>
      </c>
      <c r="N5" t="s">
        <v>31</v>
      </c>
      <c r="O5" t="s">
        <v>33</v>
      </c>
      <c r="Q5">
        <v>0</v>
      </c>
      <c r="R5" s="31">
        <v>45351</v>
      </c>
      <c r="S5" t="s">
        <v>105</v>
      </c>
      <c r="T5" s="31">
        <v>45351</v>
      </c>
      <c r="U5" t="s">
        <v>59</v>
      </c>
      <c r="V5" t="s">
        <v>106</v>
      </c>
      <c r="W5" t="s">
        <v>107</v>
      </c>
      <c r="X5" t="s">
        <v>108</v>
      </c>
      <c r="Y5" t="s">
        <v>109</v>
      </c>
      <c r="Z5" t="s">
        <v>58</v>
      </c>
      <c r="AC5" t="s">
        <v>110</v>
      </c>
      <c r="AD5">
        <v>104</v>
      </c>
      <c r="AH5" t="s">
        <v>34</v>
      </c>
      <c r="AI5" t="s">
        <v>111</v>
      </c>
      <c r="AJ5" t="s">
        <v>51</v>
      </c>
      <c r="AK5">
        <f>COUNTIF(Fives[Upgraded By],Fives[[#This Row],[Upgraded By]])</f>
        <v>4</v>
      </c>
      <c r="AL5" t="str">
        <f>IF(Fives[[#This Row],[Split Credit]]="",Fives[[#This Row],[Upgraded By]],IF(ISNUMBER(FIND(Fives[[#This Row],[Upgraded By]],Fives[[#This Row],[Split Credit]])),Fives[[#This Row],[Split Credit]],Fives[[#This Row],[Upgraded By]]&amp;"; "&amp;Fives[[#This Row],[Split Credit]]))</f>
        <v>Ben MacShane</v>
      </c>
    </row>
  </sheetData>
  <pageMargins left="0.75" right="0.75" top="1" bottom="1" header="0.5" footer="0.5"/>
  <pageSetup orientation="portrait" horizontalDpi="0" verticalDpi="0"/>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Cover</vt:lpstr>
      <vt:lpstr>Delaget</vt:lpstr>
      <vt:lpstr>Smarty</vt:lpstr>
      <vt:lpstr>HeroDevs</vt:lpstr>
      <vt:lpstr>CCR</vt:lpstr>
      <vt:lpstr>Main</vt:lpstr>
      <vt:lpstr>Data</vt:lpstr>
      <vt:lpstr>Cover!Print_Area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mk</dc:creator>
  <cp:lastModifiedBy>Leo Gretzinger</cp:lastModifiedBy>
  <cp:lastPrinted>2023-09-20T22:12:16Z</cp:lastPrinted>
  <dcterms:created xsi:type="dcterms:W3CDTF">2023-09-20T20:22:48Z</dcterms:created>
  <dcterms:modified xsi:type="dcterms:W3CDTF">2024-03-16T01:04:28Z</dcterms:modified>
</cp:coreProperties>
</file>