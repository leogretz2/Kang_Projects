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157E2146-5A46-4D37-88F4-EBA2AC96D6F0}" xr6:coauthVersionLast="47" xr6:coauthVersionMax="47" xr10:uidLastSave="{00000000-0000-0000-0000-000000000000}"/>
  <bookViews>
    <workbookView xWindow="-90" yWindow="-90" windowWidth="19380" windowHeight="10260" activeTab="1" xr2:uid="{00000000-000D-0000-FFFF-FFFF00000000}"/>
  </bookViews>
  <sheets>
    <sheet name="Cover" sheetId="4" r:id="rId1"/>
    <sheet name="Data" sheetId="1" r:id="rId2"/>
  </sheet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4" l="1" a="1"/>
  <c r="C13" i="4" s="1"/>
  <c r="AK4" i="1"/>
  <c r="AK5" i="1"/>
  <c r="AL4" i="1"/>
  <c r="AL5" i="1"/>
  <c r="AK2" i="1"/>
  <c r="AL2" i="1"/>
  <c r="D13" i="4" s="1" a="1"/>
  <c r="D13" i="4" s="1"/>
  <c r="AK3" i="1"/>
  <c r="AL3" i="1"/>
  <c r="C14" i="4" l="1" a="1"/>
  <c r="C14" i="4" s="1"/>
  <c r="C15" i="4" a="1"/>
  <c r="C15" i="4" s="1"/>
  <c r="C16" i="4" a="1"/>
  <c r="C16" i="4" s="1"/>
  <c r="D16" i="4" a="1"/>
  <c r="D16" i="4" s="1"/>
  <c r="B9" i="4"/>
  <c r="D15" i="4" l="1" a="1"/>
  <c r="D15" i="4" s="1"/>
  <c r="D14" i="4" a="1"/>
  <c r="D1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<sst xmlns="http://schemas.openxmlformats.org/spreadsheetml/2006/main" count="135" uniqueCount="104">
  <si>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</si>
  <si>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</si>
  <si>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</si>
  <si>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</si>
  <si>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</si>
  <si>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</si>
  <si>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</si>
  <si>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</si>
  <si>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</si>
  <si>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</si>
  <si>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</si>
  <si>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</si>
  <si>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</si>
  <si>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</si>
  <si>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</si>
  <si>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</si>
  <si>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</si>
  <si>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</si>
  <si>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</si>
  <si>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</si>
  <si>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</si>
  <si>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</si>
  <si>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</si>
  <si>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</si>
  <si>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</si>
  <si>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</si>
  <si>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</si>
  <si>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</si>
  <si>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</si>
  <si>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</si>
  <si>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</si>
  <si>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</si>
  <si>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</si>
  <si>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</si>
  <si>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</si>
  <si>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</si>
  <si>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</si>
  <si>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Website</t>
  </si>
  <si>
    <t>Company Owner</t>
  </si>
  <si>
    <t>Upgraded by Combined</t>
  </si>
  <si>
    <t>Count by Upgraded</t>
  </si>
  <si>
    <t>#</t>
  </si>
  <si>
    <t>2 - Unknown: In Workflow</t>
  </si>
  <si>
    <t>HQ</t>
  </si>
  <si>
    <t>USA</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</si>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</sst>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_);\(#,##0.0\)"/>
  </numFmts>
  <fonts count="2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b/>
      <sz val="9"/>
      <color theme="1"/>
      <name val="Calibri"/>
      <family val="2"/>
      <scheme val="minor"/>
    </font>
    <font>
      <b/>
      <sz val="28"/>
      <color theme="1" tint="0.24994659260841701"/>
      <name val="Arial"/>
      <family val="2"/>
    </font>
    <font>
      <b/>
      <sz val="16"/>
      <color theme="1"/>
      <name val="Calibri"/>
      <family val="2"/>
      <scheme val="minor"/>
    </font>
    <font>
      <sz val="16"/>
      <color theme="1"/>
      <name val="Calibri"/>
      <family val="2"/>
      <scheme val="minor"/>
    </font>
    <font>
      <b/>
      <sz val="16"/>
      <color theme="0"/>
      <name val="Calibri"/>
      <family val="2"/>
      <scheme val="minor"/>
    </font>
    <font>
      <sz val="20"/>
      <color theme="1" tint="0.24994659260841701"/>
      <name val="Arial"/>
      <family val="2"/>
    </font>
    <font>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5" tint="-0.249977111117893"/>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cellStyleXfs>
  <cellXfs count="14">
    <xf numFmtId="0" fontId="0" fillId="0" borderId="0" xfId="0"/>
    <xf numFmtId="164" fontId="20" fillId="0" borderId="0" xfId="44" applyNumberFormat="1"/>
    <xf numFmtId="0" fontId="16" fillId="0" borderId="0" xfId="0" applyFont="1"/>
    <xf numFmtId="164" fontId="21" fillId="0" borderId="0" xfId="44" applyNumberFormat="1" applyFont="1"/>
    <xf numFmtId="164" fontId="22" fillId="0" borderId="0" xfId="42" applyNumberFormat="1" applyFont="1"/>
    <xf numFmtId="0" fontId="23" fillId="0" borderId="0" xfId="0" applyFont="1"/>
    <xf numFmtId="0" fontId="24" fillId="0" borderId="0" xfId="0" applyFont="1"/>
    <xf numFmtId="0" fontId="0" fillId="34" borderId="0" xfId="0" applyFill="1"/>
    <xf numFmtId="0" fontId="25" fillId="33" borderId="10" xfId="0" applyFont="1" applyFill="1" applyBorder="1" applyAlignment="1">
      <alignment horizontal="center" vertical="center"/>
    </xf>
    <xf numFmtId="0" fontId="25" fillId="33" borderId="11" xfId="0" applyFont="1" applyFill="1" applyBorder="1"/>
    <xf numFmtId="0" fontId="25" fillId="33" borderId="12" xfId="0" applyFont="1" applyFill="1" applyBorder="1"/>
    <xf numFmtId="14" fontId="26" fillId="0" borderId="0" xfId="43" applyNumberFormat="1" applyFont="1" applyFill="1">
      <alignment vertical="top"/>
    </xf>
    <xf numFmtId="14" fontId="0" fillId="0" borderId="0" xfId="0" applyNumberFormat="1"/>
    <xf numFmtId="164" fontId="27" fillId="0" borderId="0" xfId="44" applyNumberFormat="1" applyFont="1"/>
  </cellXfs>
  <cellStyles count="45">
    <cellStyle name="_Heading" xfId="42" xr:uid="{00000000-0005-0000-0000-000000000000}"/>
    <cellStyle name="_SubHeading" xfId="43"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4" xr:uid="{00000000-0005-0000-0000-000028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5" totalsRowShown="0" dataDxfId="38">
  <autoFilter ref="A1:AL5"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52" zoomScaleNormal="100" workbookViewId="0">
      <selection activeCell="G23" sqref="G23"/>
    </sheetView>
  </sheetViews>
  <sheetFormatPr defaultColWidth="7.6640625" defaultRowHeight="12.25" x14ac:dyDescent="0.65"/>
  <cols>
    <col min="1" max="1" width="5.1640625" style="1" customWidth="1"/>
    <col min="2" max="2" width="5" style="3"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4" t="s">
        <v>45</v>
      </c>
    </row>
    <row r="9" spans="2:8" ht="25" x14ac:dyDescent="0.65">
      <c r="B9" s="11" t="str">
        <f ca="1">"Week of "&amp;TEXT(TODAY(),"M/D/YYYY")</f>
        <v>Week of 3/6/2024</v>
      </c>
    </row>
    <row r="10" spans="2:8" ht="21" x14ac:dyDescent="1">
      <c r="B10" s="5"/>
      <c r="C10" s="6"/>
      <c r="D10" s="6"/>
    </row>
    <row r="11" spans="2:8" ht="16" x14ac:dyDescent="0.8">
      <c r="B11" s="2"/>
      <c r="C11"/>
    </row>
    <row r="12" spans="2:8" ht="21" x14ac:dyDescent="1">
      <c r="B12" s="8" t="s">
        <v>41</v>
      </c>
      <c r="C12" s="9" t="s">
        <v>3</v>
      </c>
      <c r="D12" s="10" t="s">
        <v>35</v>
      </c>
      <c r="F12" s="8" t="s">
        <v>41</v>
      </c>
      <c r="G12" s="9" t="s">
        <v>3</v>
      </c>
      <c r="H12" s="10" t="s">
        <v>35</v>
      </c>
    </row>
    <row r="13" spans="2:8" ht="21" x14ac:dyDescent="1">
      <c r="B13" s="5">
        <v>1</v>
      </c>
      <c r="C13" s="6" t="str" cm="1">
        <f t="array" ref="C13">IFERROR(INDEX(Fives[Company Name],B13,1),"")</f>
        <v>Delaget</v>
      </c>
      <c r="D13" s="6" t="str" cm="1">
        <f t="array" ref="D13">IFERROR(INDEX(Fives[Upgraded by Combined],B13,1),"")</f>
        <v>Ben MacShane</v>
      </c>
      <c r="F13" s="5"/>
      <c r="G13" s="6"/>
      <c r="H13" s="6"/>
    </row>
    <row r="14" spans="2:8" ht="21" x14ac:dyDescent="1">
      <c r="B14" s="5">
        <v>2</v>
      </c>
      <c r="C14" s="6" t="str" cm="1">
        <f t="array" ref="C14">IFERROR(INDEX(Fives[Company Name],B14,1),"")</f>
        <v>CCR</v>
      </c>
      <c r="D14" s="6" t="str" cm="1">
        <f t="array" ref="D14">IFERROR(INDEX(Fives[Upgraded by Combined],B14,1),"")</f>
        <v>Ben MacShane</v>
      </c>
      <c r="F14" s="5"/>
      <c r="G14" s="6"/>
      <c r="H14" s="6"/>
    </row>
    <row r="15" spans="2:8" ht="21" x14ac:dyDescent="1">
      <c r="B15" s="5">
        <v>3</v>
      </c>
      <c r="C15" s="6" t="str" cm="1">
        <f t="array" ref="C15">IFERROR(INDEX(Fives[Company Name],B15,1),"")</f>
        <v>HeroDevs</v>
      </c>
      <c r="D15" s="6" t="str" cm="1">
        <f t="array" ref="D15">IFERROR(INDEX(Fives[Upgraded by Combined],B15,1),"")</f>
        <v>Ben MacShane</v>
      </c>
      <c r="F15" s="5"/>
      <c r="G15" s="6"/>
      <c r="H15" s="6"/>
    </row>
    <row r="16" spans="2:8" ht="21" x14ac:dyDescent="1">
      <c r="B16" s="5">
        <v>4</v>
      </c>
      <c r="C16" s="6" t="str" cm="1">
        <f t="array" ref="C16">IFERROR(INDEX(Fives[Company Name],B16,1),"")</f>
        <v>Smarty</v>
      </c>
      <c r="D16" s="6" t="str" cm="1">
        <f t="array" ref="D16">IFERROR(INDEX(Fives[Upgraded by Combined],B16,1),"")</f>
        <v>Ben MacShane</v>
      </c>
      <c r="F16" s="5"/>
      <c r="G16" s="6"/>
      <c r="H16" s="6"/>
    </row>
    <row r="17" spans="2:8" ht="21" x14ac:dyDescent="1">
      <c r="B17" s="5"/>
      <c r="C17" s="6"/>
      <c r="D17" s="6"/>
      <c r="F17" s="5"/>
      <c r="G17" s="6"/>
      <c r="H17" s="6"/>
    </row>
    <row r="18" spans="2:8" ht="21" x14ac:dyDescent="1">
      <c r="B18" s="5"/>
      <c r="C18" s="6"/>
      <c r="D18" s="6"/>
      <c r="F18" s="5"/>
      <c r="G18" s="6"/>
      <c r="H18" s="6"/>
    </row>
    <row r="19" spans="2:8" ht="21" x14ac:dyDescent="1">
      <c r="B19" s="5"/>
      <c r="C19" s="6"/>
      <c r="D19" s="6"/>
      <c r="F19" s="5"/>
      <c r="G19" s="6"/>
      <c r="H19" s="6"/>
    </row>
    <row r="20" spans="2:8" ht="21" x14ac:dyDescent="1">
      <c r="B20" s="5"/>
      <c r="C20" s="6"/>
      <c r="D20" s="6"/>
      <c r="F20" s="5"/>
      <c r="G20" s="6"/>
      <c r="H20" s="6"/>
    </row>
    <row r="21" spans="2:8" ht="21" x14ac:dyDescent="1">
      <c r="B21" s="5"/>
      <c r="C21" s="6"/>
      <c r="D21" s="6"/>
      <c r="F21" s="5"/>
      <c r="G21" s="6"/>
      <c r="H21" s="6"/>
    </row>
    <row r="22" spans="2:8" ht="21" x14ac:dyDescent="1">
      <c r="B22" s="5"/>
      <c r="C22" s="6"/>
      <c r="D22" s="6"/>
      <c r="F22" s="5"/>
      <c r="G22" s="6"/>
      <c r="H22" s="6"/>
    </row>
    <row r="23" spans="2:8" ht="21" x14ac:dyDescent="1">
      <c r="B23" s="5"/>
      <c r="C23" s="6"/>
      <c r="D23" s="6"/>
      <c r="F23" s="5"/>
      <c r="G23" s="6"/>
      <c r="H23" s="6"/>
    </row>
    <row r="24" spans="2:8" ht="21" x14ac:dyDescent="1">
      <c r="B24" s="5"/>
      <c r="C24" s="6"/>
      <c r="D24" s="6"/>
      <c r="F24" s="5"/>
      <c r="G24" s="6"/>
      <c r="H24" s="6"/>
    </row>
    <row r="25" spans="2:8" ht="21" x14ac:dyDescent="1">
      <c r="B25" s="5"/>
      <c r="C25" s="6"/>
      <c r="D25" s="6"/>
    </row>
    <row r="26" spans="2:8" ht="21" x14ac:dyDescent="1">
      <c r="B26" s="5"/>
      <c r="C26" s="6"/>
      <c r="D26" s="6"/>
    </row>
    <row r="27" spans="2:8" ht="21" x14ac:dyDescent="1">
      <c r="B27" s="5"/>
      <c r="C27" s="6"/>
      <c r="D27" s="6"/>
    </row>
    <row r="28" spans="2:8" ht="21" x14ac:dyDescent="1">
      <c r="B28" s="5"/>
      <c r="C28" s="6"/>
      <c r="D28" s="6"/>
    </row>
    <row r="29" spans="2:8" ht="21" x14ac:dyDescent="1">
      <c r="B29" s="5"/>
    </row>
    <row r="30" spans="2:8" ht="21" x14ac:dyDescent="1">
      <c r="B30" s="5"/>
    </row>
    <row r="31" spans="2:8" ht="22" customHeight="1" x14ac:dyDescent="0.9">
      <c r="C31" s="13" t="s">
        <v>103</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5"/>
  <sheetViews>
    <sheetView tabSelected="1" topLeftCell="P1" zoomScaleNormal="100" workbookViewId="0">
      <pane ySplit="1" topLeftCell="A2" activePane="bottomLeft" state="frozen"/>
      <selection activeCell="AJ3" sqref="AJ3"/>
      <selection pane="bottomLeft" activeCell="AC2" sqref="AC2"/>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38</v>
      </c>
      <c r="F1" t="s">
        <v>36</v>
      </c>
      <c r="G1" s="7" t="s">
        <v>35</v>
      </c>
      <c r="H1" t="s">
        <v>4</v>
      </c>
      <c r="I1" t="s">
        <v>5</v>
      </c>
      <c r="J1" t="s">
        <v>6</v>
      </c>
      <c r="K1" t="s">
        <v>7</v>
      </c>
      <c r="L1" t="s">
        <v>8</v>
      </c>
      <c r="M1" t="s">
        <v>9</v>
      </c>
      <c r="N1" t="s">
        <v>10</v>
      </c>
      <c r="O1" s="7" t="s">
        <v>11</v>
      </c>
      <c r="P1" s="7"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37</v>
      </c>
      <c r="AJ1" t="s">
        <v>43</v>
      </c>
      <c r="AK1" s="7" t="s">
        <v>40</v>
      </c>
      <c r="AL1" s="7" t="s">
        <v>39</v>
      </c>
    </row>
    <row r="2" spans="1:38" x14ac:dyDescent="0.8">
      <c r="A2" t="s">
        <v>51</v>
      </c>
      <c r="B2" t="s">
        <v>52</v>
      </c>
      <c r="C2" t="s">
        <v>53</v>
      </c>
      <c r="D2" t="s">
        <v>54</v>
      </c>
      <c r="E2" t="s">
        <v>55</v>
      </c>
      <c r="G2" t="s">
        <v>55</v>
      </c>
      <c r="H2" s="12">
        <v>45348</v>
      </c>
      <c r="I2" t="s">
        <v>46</v>
      </c>
      <c r="J2" t="s">
        <v>31</v>
      </c>
      <c r="K2" t="s">
        <v>32</v>
      </c>
      <c r="N2" t="s">
        <v>31</v>
      </c>
      <c r="O2" t="s">
        <v>33</v>
      </c>
      <c r="Q2">
        <v>0</v>
      </c>
      <c r="R2" s="12">
        <v>45348</v>
      </c>
      <c r="S2" t="s">
        <v>56</v>
      </c>
      <c r="T2" s="12">
        <v>45348</v>
      </c>
      <c r="U2" t="s">
        <v>57</v>
      </c>
      <c r="V2" t="s">
        <v>58</v>
      </c>
      <c r="W2" t="s">
        <v>59</v>
      </c>
      <c r="X2" t="s">
        <v>60</v>
      </c>
      <c r="Y2" t="s">
        <v>61</v>
      </c>
      <c r="Z2" t="s">
        <v>62</v>
      </c>
      <c r="AA2" t="s">
        <v>63</v>
      </c>
      <c r="AC2" t="s">
        <v>64</v>
      </c>
      <c r="AD2">
        <v>93</v>
      </c>
      <c r="AE2">
        <v>0</v>
      </c>
      <c r="AF2" s="12">
        <v>44593</v>
      </c>
      <c r="AG2">
        <v>400000</v>
      </c>
      <c r="AH2" t="s">
        <v>48</v>
      </c>
      <c r="AI2" t="s">
        <v>65</v>
      </c>
      <c r="AJ2" t="s">
        <v>44</v>
      </c>
      <c r="AK2">
        <f>COUNTIF(Fives[Upgraded By],Fives[[#This Row],[Upgraded By]])</f>
        <v>4</v>
      </c>
      <c r="AL2" t="str">
        <f>IF(Fives[[#This Row],[Split Credit]]="",Fives[[#This Row],[Upgraded By]],IF(ISNUMBER(FIND(Fives[[#This Row],[Upgraded By]],Fives[[#This Row],[Split Credit]])),Fives[[#This Row],[Split Credit]],Fives[[#This Row],[Upgraded By]]&amp;"; "&amp;Fives[[#This Row],[Split Credit]]))</f>
        <v>Ben MacShane</v>
      </c>
    </row>
    <row r="3" spans="1:38" x14ac:dyDescent="0.8">
      <c r="A3" t="s">
        <v>66</v>
      </c>
      <c r="B3" t="s">
        <v>67</v>
      </c>
      <c r="C3" t="s">
        <v>68</v>
      </c>
      <c r="D3" t="s">
        <v>69</v>
      </c>
      <c r="E3" t="s">
        <v>70</v>
      </c>
      <c r="G3" t="s">
        <v>55</v>
      </c>
      <c r="H3" s="12">
        <v>45350</v>
      </c>
      <c r="I3" t="s">
        <v>42</v>
      </c>
      <c r="J3" t="s">
        <v>31</v>
      </c>
      <c r="K3" t="s">
        <v>32</v>
      </c>
      <c r="N3" t="s">
        <v>31</v>
      </c>
      <c r="O3" t="s">
        <v>33</v>
      </c>
      <c r="Q3">
        <v>0</v>
      </c>
      <c r="R3" s="12">
        <v>45350</v>
      </c>
      <c r="S3" t="s">
        <v>71</v>
      </c>
      <c r="T3" s="12">
        <v>45350</v>
      </c>
      <c r="U3" t="s">
        <v>72</v>
      </c>
      <c r="V3" t="s">
        <v>73</v>
      </c>
      <c r="W3" t="s">
        <v>74</v>
      </c>
      <c r="X3" t="s">
        <v>75</v>
      </c>
      <c r="Y3" t="s">
        <v>76</v>
      </c>
      <c r="Z3" t="s">
        <v>77</v>
      </c>
      <c r="AC3" t="s">
        <v>78</v>
      </c>
      <c r="AD3">
        <v>109</v>
      </c>
      <c r="AH3" t="s">
        <v>34</v>
      </c>
      <c r="AI3" t="s">
        <v>79</v>
      </c>
      <c r="AJ3" t="s">
        <v>44</v>
      </c>
      <c r="AK3">
        <f>COUNTIF(Fives[Upgraded By],Fives[[#This Row],[Upgraded By]])</f>
        <v>4</v>
      </c>
      <c r="AL3" t="str">
        <f>IF(Fives[[#This Row],[Split Credit]]="",Fives[[#This Row],[Upgraded By]],IF(ISNUMBER(FIND(Fives[[#This Row],[Upgraded By]],Fives[[#This Row],[Split Credit]])),Fives[[#This Row],[Split Credit]],Fives[[#This Row],[Upgraded By]]&amp;"; "&amp;Fives[[#This Row],[Split Credit]]))</f>
        <v>Ben MacShane</v>
      </c>
    </row>
    <row r="4" spans="1:38" x14ac:dyDescent="0.8">
      <c r="A4" t="s">
        <v>80</v>
      </c>
      <c r="B4" t="s">
        <v>81</v>
      </c>
      <c r="C4" t="s">
        <v>82</v>
      </c>
      <c r="D4" t="s">
        <v>83</v>
      </c>
      <c r="E4" t="s">
        <v>55</v>
      </c>
      <c r="G4" t="s">
        <v>55</v>
      </c>
      <c r="H4" s="12">
        <v>45354</v>
      </c>
      <c r="I4" t="s">
        <v>42</v>
      </c>
      <c r="J4" t="s">
        <v>31</v>
      </c>
      <c r="K4" t="s">
        <v>32</v>
      </c>
      <c r="N4" t="s">
        <v>31</v>
      </c>
      <c r="O4" t="s">
        <v>33</v>
      </c>
      <c r="Q4">
        <v>0</v>
      </c>
      <c r="R4" s="12">
        <v>45352</v>
      </c>
      <c r="S4" t="s">
        <v>84</v>
      </c>
      <c r="T4" s="12">
        <v>45352</v>
      </c>
      <c r="U4" t="s">
        <v>85</v>
      </c>
      <c r="V4" t="s">
        <v>86</v>
      </c>
      <c r="W4" t="s">
        <v>87</v>
      </c>
      <c r="X4" t="s">
        <v>88</v>
      </c>
      <c r="Y4" t="s">
        <v>89</v>
      </c>
      <c r="Z4" t="s">
        <v>47</v>
      </c>
      <c r="AC4" t="s">
        <v>90</v>
      </c>
      <c r="AD4">
        <v>59</v>
      </c>
      <c r="AH4" t="s">
        <v>34</v>
      </c>
      <c r="AI4" t="s">
        <v>91</v>
      </c>
      <c r="AJ4" t="s">
        <v>44</v>
      </c>
      <c r="AK4">
        <f>COUNTIF(Fives[Upgraded By],Fives[[#This Row],[Upgraded By]])</f>
        <v>4</v>
      </c>
      <c r="AL4" t="str">
        <f>IF(Fives[[#This Row],[Split Credit]]="",Fives[[#This Row],[Upgraded By]],IF(ISNUMBER(FIND(Fives[[#This Row],[Upgraded By]],Fives[[#This Row],[Split Credit]])),Fives[[#This Row],[Split Credit]],Fives[[#This Row],[Upgraded By]]&amp;"; "&amp;Fives[[#This Row],[Split Credit]]))</f>
        <v>Ben MacShane</v>
      </c>
    </row>
    <row r="5" spans="1:38" x14ac:dyDescent="0.8">
      <c r="A5" t="s">
        <v>92</v>
      </c>
      <c r="B5" t="s">
        <v>93</v>
      </c>
      <c r="C5" t="s">
        <v>94</v>
      </c>
      <c r="D5" t="s">
        <v>95</v>
      </c>
      <c r="E5" t="s">
        <v>55</v>
      </c>
      <c r="G5" t="s">
        <v>55</v>
      </c>
      <c r="H5" s="12">
        <v>45354</v>
      </c>
      <c r="I5" t="s">
        <v>46</v>
      </c>
      <c r="J5" t="s">
        <v>31</v>
      </c>
      <c r="K5" t="s">
        <v>32</v>
      </c>
      <c r="N5" t="s">
        <v>31</v>
      </c>
      <c r="O5" t="s">
        <v>33</v>
      </c>
      <c r="Q5">
        <v>0</v>
      </c>
      <c r="R5" s="12">
        <v>45351</v>
      </c>
      <c r="S5" t="s">
        <v>96</v>
      </c>
      <c r="T5" s="12">
        <v>45351</v>
      </c>
      <c r="U5" t="s">
        <v>50</v>
      </c>
      <c r="V5" t="s">
        <v>97</v>
      </c>
      <c r="W5" t="s">
        <v>98</v>
      </c>
      <c r="X5" t="s">
        <v>99</v>
      </c>
      <c r="Y5" t="s">
        <v>100</v>
      </c>
      <c r="Z5" t="s">
        <v>49</v>
      </c>
      <c r="AC5" t="s">
        <v>101</v>
      </c>
      <c r="AD5">
        <v>104</v>
      </c>
      <c r="AH5" t="s">
        <v>34</v>
      </c>
      <c r="AI5" t="s">
        <v>102</v>
      </c>
      <c r="AJ5" t="s">
        <v>44</v>
      </c>
      <c r="AK5">
        <f>COUNTIF(Fives[Upgraded By],Fives[[#This Row],[Upgraded By]])</f>
        <v>4</v>
      </c>
      <c r="AL5"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2024-03-07T07:12:01Z</dcterms:modified>
</cp:coreProperties>
</file>